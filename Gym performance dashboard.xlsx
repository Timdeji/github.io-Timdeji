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989dd1369e605cb/Data analysis training practice/excel dashboards/"/>
    </mc:Choice>
  </mc:AlternateContent>
  <xr:revisionPtr revIDLastSave="68" documentId="13_ncr:1_{440E06E2-5EF0-40E1-B859-3B9F3232CD00}" xr6:coauthVersionLast="47" xr6:coauthVersionMax="47" xr10:uidLastSave="{F0D08C56-9698-4A00-A102-91DF6B7B99CB}"/>
  <bookViews>
    <workbookView xWindow="-120" yWindow="-120" windowWidth="29040" windowHeight="15720" firstSheet="1" activeTab="1" xr2:uid="{2B798D20-8C37-4427-B851-5FEE44B06E26}"/>
  </bookViews>
  <sheets>
    <sheet name="Dashboard" sheetId="7" state="hidden" r:id="rId1"/>
    <sheet name="gym_membership" sheetId="2" r:id="rId2"/>
    <sheet name="Sheet1" sheetId="1" state="hidden" r:id="rId3"/>
    <sheet name="Sheet2" sheetId="4" state="hidden" r:id="rId4"/>
    <sheet name="Sheet3" sheetId="5" state="hidden" r:id="rId5"/>
    <sheet name="Sheet4" sheetId="6" state="hidden" r:id="rId6"/>
  </sheets>
  <definedNames>
    <definedName name="ExternalData_1" localSheetId="1" hidden="1">gym_membership!$A$1:$AB$1001</definedName>
    <definedName name="Slicer_abonoment_type">#N/A</definedName>
    <definedName name="Slicer_Age">#N/A</definedName>
    <definedName name="Slicer_gender">#N/A</definedName>
    <definedName name="Slicer_name_personal_train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8" i="4" l="1"/>
  <c r="B9" i="4"/>
  <c r="B10" i="4"/>
  <c r="B11" i="4"/>
  <c r="B12" i="4"/>
  <c r="B7" i="4"/>
  <c r="A7" i="4" a="1"/>
  <c r="A7" i="4" s="1"/>
  <c r="B30" i="1"/>
  <c r="B31" i="1"/>
  <c r="B32" i="1"/>
  <c r="B33" i="1"/>
  <c r="B34" i="1"/>
  <c r="B35" i="1"/>
  <c r="B36" i="1"/>
  <c r="B37" i="1"/>
  <c r="B38" i="1"/>
  <c r="B39" i="1"/>
  <c r="B29" i="1"/>
  <c r="A29" i="1" a="1"/>
  <c r="A29" i="1" s="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B13" i="1"/>
  <c r="B14" i="1"/>
  <c r="B15" i="1"/>
  <c r="B16" i="1"/>
  <c r="B17" i="1"/>
  <c r="B18" i="1"/>
  <c r="B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C24343-7F0E-4286-840D-85CE4E60BFC1}" keepAlive="1" name="Query - gym_membership" description="Connection to the 'gym_membership' query in the workbook." type="5" refreshedVersion="8" background="1" saveData="1">
    <dbPr connection="Provider=Microsoft.Mashup.OleDb.1;Data Source=$Workbook$;Location=gym_membership;Extended Properties=&quot;&quot;" command="SELECT * FROM [gym_membership]"/>
  </connection>
  <connection id="2" xr16:uid="{79170FEB-ECEE-41BA-BC79-6D4C2B848411}" keepAlive="1" name="Query - gym_membership (2)" description="Connection to the 'gym_membership (2)' query in the workbook." type="5" refreshedVersion="8" background="1" saveData="1">
    <dbPr connection="Provider=Microsoft.Mashup.OleDb.1;Data Source=$Workbook$;Location=&quot;gym_membership (2)&quot;;Extended Properties=&quot;&quot;" command="SELECT * FROM [gym_membership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<sst xmlns="http://schemas.openxmlformats.org/spreadsheetml/2006/main" count="10498" uniqueCount="457">
  <si>
    <t>id</t>
  </si>
  <si>
    <t>gender</t>
  </si>
  <si>
    <t>birthday</t>
  </si>
  <si>
    <t>Age</t>
  </si>
  <si>
    <t>abonoment_type</t>
  </si>
  <si>
    <t>visit_per_week</t>
  </si>
  <si>
    <t>days_per_week</t>
  </si>
  <si>
    <t>attend_group_lesson</t>
  </si>
  <si>
    <t>fav_group_lesson</t>
  </si>
  <si>
    <t>avg_time_check_in</t>
  </si>
  <si>
    <t>avg_time_check_out</t>
  </si>
  <si>
    <t>avg_time_in_gym</t>
  </si>
  <si>
    <t>drink_abo</t>
  </si>
  <si>
    <t>fav_drink</t>
  </si>
  <si>
    <t>personal_training</t>
  </si>
  <si>
    <t>name_personal_trainer</t>
  </si>
  <si>
    <t>uses_sauna</t>
  </si>
  <si>
    <t>Female</t>
  </si>
  <si>
    <t>Premium</t>
  </si>
  <si>
    <t>Mon, Sat, Tue, Wed</t>
  </si>
  <si>
    <t>Kickboxen, BodyPump, Zumba</t>
  </si>
  <si>
    <t/>
  </si>
  <si>
    <t>Standard</t>
  </si>
  <si>
    <t>Mon, Sat, Wed</t>
  </si>
  <si>
    <t>Chantal</t>
  </si>
  <si>
    <t>Male</t>
  </si>
  <si>
    <t>Sat</t>
  </si>
  <si>
    <t>XCore</t>
  </si>
  <si>
    <t>berry_boost, lemon</t>
  </si>
  <si>
    <t>Mike</t>
  </si>
  <si>
    <t>Sat, Tue, Wed</t>
  </si>
  <si>
    <t>passion_fruit</t>
  </si>
  <si>
    <t>Thu, Wed</t>
  </si>
  <si>
    <t>Running, Yoga, Zumba</t>
  </si>
  <si>
    <t>Mon</t>
  </si>
  <si>
    <t>Sat, Thu, Wed</t>
  </si>
  <si>
    <t>LesMiles, BodyPump</t>
  </si>
  <si>
    <t>Mon, Wed</t>
  </si>
  <si>
    <t>Yoga, XCore</t>
  </si>
  <si>
    <t>coconut_pineapple</t>
  </si>
  <si>
    <t>Sat, Sun, Thu</t>
  </si>
  <si>
    <t>BodyPump</t>
  </si>
  <si>
    <t>orange, lemon</t>
  </si>
  <si>
    <t>Jeffrey</t>
  </si>
  <si>
    <t>Fri</t>
  </si>
  <si>
    <t>Hanna</t>
  </si>
  <si>
    <t>Fri, Thu, Wed</t>
  </si>
  <si>
    <t>Pilates, Zumba, XCore</t>
  </si>
  <si>
    <t>Sun, Wed</t>
  </si>
  <si>
    <t>XCore, HIT, Running</t>
  </si>
  <si>
    <t>Mon, Tue, Wed</t>
  </si>
  <si>
    <t>black_currant</t>
  </si>
  <si>
    <t>orange, black_currant</t>
  </si>
  <si>
    <t>Mon, Thu, Tue, Wed</t>
  </si>
  <si>
    <t>Spinning, Zumba, XCore</t>
  </si>
  <si>
    <t>Fri, Sat, Sun</t>
  </si>
  <si>
    <t>Sat, Thu, Tue</t>
  </si>
  <si>
    <t>Tue</t>
  </si>
  <si>
    <t>Pilates</t>
  </si>
  <si>
    <t>orange</t>
  </si>
  <si>
    <t>Sat, Wed</t>
  </si>
  <si>
    <t>BodyPump, Zumba, Pilates</t>
  </si>
  <si>
    <t>Fri, Mon</t>
  </si>
  <si>
    <t>Fri, Mon, Sat</t>
  </si>
  <si>
    <t>Yoga, BodyBalance, LesMiles</t>
  </si>
  <si>
    <t>lemon</t>
  </si>
  <si>
    <t>Mon, Tue</t>
  </si>
  <si>
    <t>HIT</t>
  </si>
  <si>
    <t>passion_fruit, orange</t>
  </si>
  <si>
    <t>lemon, coconut_pineapple</t>
  </si>
  <si>
    <t>BodyBalance, Zumba, Yoga</t>
  </si>
  <si>
    <t>Fri, Sun, Wed</t>
  </si>
  <si>
    <t>Zumba</t>
  </si>
  <si>
    <t>berry_boost, passion_fruit</t>
  </si>
  <si>
    <t>Fri, Sat, Sun, Tue, Wed</t>
  </si>
  <si>
    <t>BodyBalance, Pilates, Running</t>
  </si>
  <si>
    <t>berry_boost</t>
  </si>
  <si>
    <t>Wed</t>
  </si>
  <si>
    <t>Fri, Mon, Thu</t>
  </si>
  <si>
    <t>Spinning, BodyPump, Zumba</t>
  </si>
  <si>
    <t>orange, coconut_pineapple</t>
  </si>
  <si>
    <t>Sun, Thu, Wed</t>
  </si>
  <si>
    <t>Fri, Mon, Sat, Sun, Wed</t>
  </si>
  <si>
    <t>black_currant, lemon</t>
  </si>
  <si>
    <t>Sat, Sun, Tue</t>
  </si>
  <si>
    <t>LesMiles, HIT</t>
  </si>
  <si>
    <t>Mon, Sat</t>
  </si>
  <si>
    <t>XCore, Running, BodyBalance</t>
  </si>
  <si>
    <t>Mon, Sun, Thu, Tue, Wed</t>
  </si>
  <si>
    <t>Sat, Thu</t>
  </si>
  <si>
    <t>coconut_pineapple, berry_boost</t>
  </si>
  <si>
    <t>LesMiles</t>
  </si>
  <si>
    <t>passion_fruit, black_currant</t>
  </si>
  <si>
    <t>Mon, Sun, Tue</t>
  </si>
  <si>
    <t>Sun</t>
  </si>
  <si>
    <t>Thu</t>
  </si>
  <si>
    <t>BodyBalance</t>
  </si>
  <si>
    <t>coconut_pineapple, passion_fruit</t>
  </si>
  <si>
    <t>Tue, Wed</t>
  </si>
  <si>
    <t>Fri, Mon, Sat, Tue</t>
  </si>
  <si>
    <t>Spinning</t>
  </si>
  <si>
    <t>Sun, Tue, Wed</t>
  </si>
  <si>
    <t>Fri, Mon, Sun, Thu, Tue</t>
  </si>
  <si>
    <t>Yoga</t>
  </si>
  <si>
    <t>Fri, Thu, Tue</t>
  </si>
  <si>
    <t>Yoga, BodyBalance</t>
  </si>
  <si>
    <t>Sat, Tue</t>
  </si>
  <si>
    <t>BodyPump, Zumba</t>
  </si>
  <si>
    <t>black_currant, passion_fruit</t>
  </si>
  <si>
    <t>Mon, Sun, Thu</t>
  </si>
  <si>
    <t>BodyPump, Yoga</t>
  </si>
  <si>
    <t>Sun, Thu</t>
  </si>
  <si>
    <t>BodyBalance, Running</t>
  </si>
  <si>
    <t>Fri, Mon, Sat, Thu</t>
  </si>
  <si>
    <t>orange, berry_boost</t>
  </si>
  <si>
    <t>Spinning, Kickboxen, LesMiles</t>
  </si>
  <si>
    <t>Fri, Sun, Tue</t>
  </si>
  <si>
    <t>Fri, Mon, Sat, Thu, Tue</t>
  </si>
  <si>
    <t>BodyBalance, BodyPump</t>
  </si>
  <si>
    <t>Fri, Tue</t>
  </si>
  <si>
    <t>Kickboxen</t>
  </si>
  <si>
    <t>XCore, Zumba</t>
  </si>
  <si>
    <t>Mon, Sun, Wed</t>
  </si>
  <si>
    <t>Fri, Sun, Thu</t>
  </si>
  <si>
    <t>passion_fruit, coconut_pineapple</t>
  </si>
  <si>
    <t>lemon, berry_boost</t>
  </si>
  <si>
    <t>Sun, Tue</t>
  </si>
  <si>
    <t>Fri, Thu, Tue, Wed</t>
  </si>
  <si>
    <t>Running</t>
  </si>
  <si>
    <t>Mon, Sat, Sun, Thu, Wed</t>
  </si>
  <si>
    <t>berry_boost, coconut_pineapple</t>
  </si>
  <si>
    <t>Fri, Mon, Sat, Sun, Tue</t>
  </si>
  <si>
    <t>Fri, Sun</t>
  </si>
  <si>
    <t>Mon, Sun</t>
  </si>
  <si>
    <t>Zumba, Spinning, BodyBalance</t>
  </si>
  <si>
    <t>Fri, Sat, Thu, Tue, Wed</t>
  </si>
  <si>
    <t>Yoga, LesMiles, Spinning</t>
  </si>
  <si>
    <t>Running, Kickboxen</t>
  </si>
  <si>
    <t>Sun, Thu, Tue</t>
  </si>
  <si>
    <t>Yoga, HIT</t>
  </si>
  <si>
    <t>Sat, Sun</t>
  </si>
  <si>
    <t>BodyPump, BodyBalance, XCore</t>
  </si>
  <si>
    <t>Fri, Sat, Tue</t>
  </si>
  <si>
    <t>Kickboxen, HIT, BodyPump</t>
  </si>
  <si>
    <t>Fri, Mon, Sat, Wed</t>
  </si>
  <si>
    <t>Mon, Sat, Sun</t>
  </si>
  <si>
    <t>Mon, Sat, Sun, Wed</t>
  </si>
  <si>
    <t>BodyPump, Spinning, Pilates</t>
  </si>
  <si>
    <t>BodyPump, Spinning, HIT</t>
  </si>
  <si>
    <t>Sat, Sun, Wed</t>
  </si>
  <si>
    <t>Fri, Mon, Sun</t>
  </si>
  <si>
    <t>Fri, Sat, Sun, Thu, Wed</t>
  </si>
  <si>
    <t>Pilates, BodyBalance</t>
  </si>
  <si>
    <t>passion_fruit, berry_boost</t>
  </si>
  <si>
    <t>Pilates, LesMiles</t>
  </si>
  <si>
    <t>Running, Kickboxen, BodyBalance</t>
  </si>
  <si>
    <t>Fri, Wed</t>
  </si>
  <si>
    <t>HIT, LesMiles</t>
  </si>
  <si>
    <t>Pilates, BodyBalance, HIT</t>
  </si>
  <si>
    <t>Sat, Sun, Thu, Tue, Wed</t>
  </si>
  <si>
    <t>HIT, BodyPump</t>
  </si>
  <si>
    <t>Fri, Tue, Wed</t>
  </si>
  <si>
    <t>BodyPump, Yoga, Pilates</t>
  </si>
  <si>
    <t>lemon, black_currant</t>
  </si>
  <si>
    <t>Mon, Sat, Thu</t>
  </si>
  <si>
    <t>Fri, Sat, Wed</t>
  </si>
  <si>
    <t>Running, BodyBalance</t>
  </si>
  <si>
    <t>lemon, passion_fruit</t>
  </si>
  <si>
    <t>Fri, Mon, Sat, Thu, Wed</t>
  </si>
  <si>
    <t>Spinning, BodyPump</t>
  </si>
  <si>
    <t>Fri, Sun, Thu, Tue, Wed</t>
  </si>
  <si>
    <t>Spinning, Kickboxen, Zumba</t>
  </si>
  <si>
    <t>lemon, orange</t>
  </si>
  <si>
    <t>Mon, Thu, Tue</t>
  </si>
  <si>
    <t>Running, BodyPump, XCore</t>
  </si>
  <si>
    <t>XCore, Zumba, LesMiles</t>
  </si>
  <si>
    <t>Fri, Sat, Sun, Thu, Tue</t>
  </si>
  <si>
    <t>XCore, Yoga, LesMiles</t>
  </si>
  <si>
    <t>Running, Yoga, Pilates</t>
  </si>
  <si>
    <t>BodyPump, Kickboxen, Zumba</t>
  </si>
  <si>
    <t>Pilates, HIT</t>
  </si>
  <si>
    <t>Running, BodyPump</t>
  </si>
  <si>
    <t>Kickboxen, BodyPump</t>
  </si>
  <si>
    <t>Fri, Sat</t>
  </si>
  <si>
    <t>Kickboxen, HIT</t>
  </si>
  <si>
    <t>Mon, Thu, Wed</t>
  </si>
  <si>
    <t>BodyBalance, Kickboxen, Spinning</t>
  </si>
  <si>
    <t>Mon, Sat, Thu, Tue, Wed</t>
  </si>
  <si>
    <t>Fri, Mon, Thu, Tue</t>
  </si>
  <si>
    <t>Running, BodyBalance, Kickboxen</t>
  </si>
  <si>
    <t>Kickboxen, Spinning, BodyPump</t>
  </si>
  <si>
    <t>passion_fruit, lemon</t>
  </si>
  <si>
    <t>Fri, Mon, Thu, Wed</t>
  </si>
  <si>
    <t>Fri, Sat, Thu</t>
  </si>
  <si>
    <t>Kickboxen, Running, LesMiles</t>
  </si>
  <si>
    <t>Mon, Sat, Sun, Thu, Tue</t>
  </si>
  <si>
    <t>Kickboxen, XCore</t>
  </si>
  <si>
    <t>Running, XCore</t>
  </si>
  <si>
    <t>Pilates, Kickboxen, BodyPump</t>
  </si>
  <si>
    <t>Spinning, XCore</t>
  </si>
  <si>
    <t>Sat, Sun, Thu, Tue</t>
  </si>
  <si>
    <t>Mon, Sat, Sun, Thu</t>
  </si>
  <si>
    <t>Zumba, BodyPump, XCore</t>
  </si>
  <si>
    <t>black_currant, coconut_pineapple</t>
  </si>
  <si>
    <t>coconut_pineapple, black_currant</t>
  </si>
  <si>
    <t>orange, passion_fruit</t>
  </si>
  <si>
    <t>HIT, XCore, Kickboxen</t>
  </si>
  <si>
    <t>berry_boost, black_currant</t>
  </si>
  <si>
    <t>Running, HIT</t>
  </si>
  <si>
    <t>Fri, Mon, Tue, Wed</t>
  </si>
  <si>
    <t>Fri, Mon, Wed</t>
  </si>
  <si>
    <t>Fri, Mon, Sun, Tue, Wed</t>
  </si>
  <si>
    <t>Spinning, BodyBalance, BodyPump</t>
  </si>
  <si>
    <t>Pilates, XCore, Spinning</t>
  </si>
  <si>
    <t>Mon, Sat, Tue</t>
  </si>
  <si>
    <t>XCore, BodyPump</t>
  </si>
  <si>
    <t>Spinning, HIT</t>
  </si>
  <si>
    <t>berry_boost, orange</t>
  </si>
  <si>
    <t>XCore, Pilates</t>
  </si>
  <si>
    <t>Sun, Thu, Tue, Wed</t>
  </si>
  <si>
    <t>Fri, Mon, Sat, Sun, Thu</t>
  </si>
  <si>
    <t>Pilates, BodyPump, BodyBalance</t>
  </si>
  <si>
    <t>Zumba, Yoga, Pilates</t>
  </si>
  <si>
    <t>Sat, Sun, Tue, Wed</t>
  </si>
  <si>
    <t>Kickboxen, Running</t>
  </si>
  <si>
    <t>Fri, Sat, Thu, Wed</t>
  </si>
  <si>
    <t>BodyBalance, Running, Yoga</t>
  </si>
  <si>
    <t>Zumba, HIT</t>
  </si>
  <si>
    <t>Fri, Thu</t>
  </si>
  <si>
    <t>Yoga, Pilates, BodyPump</t>
  </si>
  <si>
    <t>Fri, Mon, Thu, Tue, Wed</t>
  </si>
  <si>
    <t>BodyBalance, Zumba</t>
  </si>
  <si>
    <t>Fri, Mon, Sun, Wed</t>
  </si>
  <si>
    <t>Kickboxen, BodyBalance, LesMiles</t>
  </si>
  <si>
    <t>XCore, HIT, Kickboxen</t>
  </si>
  <si>
    <t>Thu, Tue</t>
  </si>
  <si>
    <t>Yoga, Pilates</t>
  </si>
  <si>
    <t>Zumba, BodyBalance</t>
  </si>
  <si>
    <t>BodyPump, Running, Yoga</t>
  </si>
  <si>
    <t>Pilates, Zumba, Running</t>
  </si>
  <si>
    <t>Pilates, Yoga</t>
  </si>
  <si>
    <t>coconut_pineapple, orange</t>
  </si>
  <si>
    <t>Pilates, XCore, Kickboxen</t>
  </si>
  <si>
    <t>Zumba, BodyPump</t>
  </si>
  <si>
    <t>Mon, Sun, Thu, Wed</t>
  </si>
  <si>
    <t>Zumba, Kickboxen</t>
  </si>
  <si>
    <t>Yoga, Kickboxen</t>
  </si>
  <si>
    <t>Fri, Sun, Thu, Wed</t>
  </si>
  <si>
    <t>Fri, Mon, Sun, Thu, Wed</t>
  </si>
  <si>
    <t>Spinning, XCore, LesMiles</t>
  </si>
  <si>
    <t>Kickboxen, LesMiles, Yoga</t>
  </si>
  <si>
    <t>Sat, Sun, Thu, Wed</t>
  </si>
  <si>
    <t>Spinning, Running, LesMiles</t>
  </si>
  <si>
    <t>Running, LesMiles, Yoga</t>
  </si>
  <si>
    <t>BodyPump, Pilates, Running</t>
  </si>
  <si>
    <t>BodyPump, HIT</t>
  </si>
  <si>
    <t>XCore, Spinning, BodyPump</t>
  </si>
  <si>
    <t>coconut_pineapple, lemon</t>
  </si>
  <si>
    <t>HIT, Zumba</t>
  </si>
  <si>
    <t>Fri, Sat, Sun, Tue</t>
  </si>
  <si>
    <t>Kickboxen, LesMiles</t>
  </si>
  <si>
    <t>Running, Zumba, LesMiles</t>
  </si>
  <si>
    <t>XCore, Pilates, HIT</t>
  </si>
  <si>
    <t>HIT, Kickboxen, Zumba</t>
  </si>
  <si>
    <t>Running, HIT, Kickboxen</t>
  </si>
  <si>
    <t>Fri, Mon, Sun, Thu</t>
  </si>
  <si>
    <t>Pilates, XCore</t>
  </si>
  <si>
    <t>BodyBalance, LesMiles</t>
  </si>
  <si>
    <t>Spinning, Running</t>
  </si>
  <si>
    <t>LesMiles, BodyPump, Kickboxen</t>
  </si>
  <si>
    <t>Pilates, Zumba, Kickboxen</t>
  </si>
  <si>
    <t>Running, Zumba</t>
  </si>
  <si>
    <t>Spinning, BodyBalance, Yoga</t>
  </si>
  <si>
    <t>Kickboxen, HIT, Spinning</t>
  </si>
  <si>
    <t>Fri, Mon, Tue</t>
  </si>
  <si>
    <t>XCore, Yoga</t>
  </si>
  <si>
    <t>Spinning, LesMiles, Yoga</t>
  </si>
  <si>
    <t>BodyBalance, Pilates, LesMiles</t>
  </si>
  <si>
    <t>HIT, Pilates</t>
  </si>
  <si>
    <t>BodyPump, LesMiles</t>
  </si>
  <si>
    <t>HIT, Spinning</t>
  </si>
  <si>
    <t>BodyBalance, Pilates, Kickboxen</t>
  </si>
  <si>
    <t>LesMiles, HIT, Pilates</t>
  </si>
  <si>
    <t>Kickboxen, BodyBalance</t>
  </si>
  <si>
    <t>LesMiles, Kickboxen</t>
  </si>
  <si>
    <t>Spinning, BodyBalance</t>
  </si>
  <si>
    <t>Spinning, Yoga</t>
  </si>
  <si>
    <t>Mon, Sun, Tue, Wed</t>
  </si>
  <si>
    <t>XCore, Spinning</t>
  </si>
  <si>
    <t>Mon, Thu</t>
  </si>
  <si>
    <t>LesMiles, Yoga, Zumba</t>
  </si>
  <si>
    <t>LesMiles, Pilates, Yoga</t>
  </si>
  <si>
    <t>Kickboxen, Zumba</t>
  </si>
  <si>
    <t>LesMiles, Yoga, Spinning</t>
  </si>
  <si>
    <t>Mon, Sat, Thu, Wed</t>
  </si>
  <si>
    <t>Pilates, Spinning</t>
  </si>
  <si>
    <t>LesMiles, Pilates</t>
  </si>
  <si>
    <t>Kickboxen, Pilates</t>
  </si>
  <si>
    <t>Kickboxen, Spinning, HIT</t>
  </si>
  <si>
    <t>Thu, Tue, Wed</t>
  </si>
  <si>
    <t>Pilates, LesMiles, Spinning</t>
  </si>
  <si>
    <t>Mon, Sat, Sun, Tue, Wed</t>
  </si>
  <si>
    <t>Pilates, BodyBalance, Spinning</t>
  </si>
  <si>
    <t>Zumba, Yoga, Spinning</t>
  </si>
  <si>
    <t>black_currant, orange</t>
  </si>
  <si>
    <t>Yoga, Spinning</t>
  </si>
  <si>
    <t>Running, Spinning</t>
  </si>
  <si>
    <t>HIT, BodyBalance</t>
  </si>
  <si>
    <t>BodyBalance, Pilates, HIT</t>
  </si>
  <si>
    <t>Fri, Sat, Sun, Wed</t>
  </si>
  <si>
    <t>BodyPump, Pilates, Yoga</t>
  </si>
  <si>
    <t>BodyBalance, Pilates, Yoga</t>
  </si>
  <si>
    <t>BodyPump, LesMiles, HIT</t>
  </si>
  <si>
    <t>Fri, Sat, Thu, Tue</t>
  </si>
  <si>
    <t>Running, LesMiles</t>
  </si>
  <si>
    <t>BodyBalance, Kickboxen, HIT</t>
  </si>
  <si>
    <t>XCore, Kickboxen</t>
  </si>
  <si>
    <t>Zumba, LesMiles, Spinning</t>
  </si>
  <si>
    <t>BodyBalance, XCore</t>
  </si>
  <si>
    <t>BodyBalance, LesMiles, BodyPump</t>
  </si>
  <si>
    <t>Yoga, BodyPump</t>
  </si>
  <si>
    <t>BodyBalance, Spinning, XCore</t>
  </si>
  <si>
    <t>Pilates, Zumba, Spinning</t>
  </si>
  <si>
    <t>LesMiles, BodyBalance</t>
  </si>
  <si>
    <t>LesMiles, Kickboxen, Yoga</t>
  </si>
  <si>
    <t>XCore, Spinning, Pilates</t>
  </si>
  <si>
    <t>Zumba, XCore</t>
  </si>
  <si>
    <t>BodyPump, XCore</t>
  </si>
  <si>
    <t>Zumba, Running, Spinning</t>
  </si>
  <si>
    <t>Mon, Sun, Thu, Tue</t>
  </si>
  <si>
    <t>Fri, Mon, Sat, Tue, Wed</t>
  </si>
  <si>
    <t>BodyBalance, HIT</t>
  </si>
  <si>
    <t>BodyBalance, Spinning, HIT</t>
  </si>
  <si>
    <t>BodyPump, Running, Spinning</t>
  </si>
  <si>
    <t>Kickboxen, Pilates, XCore</t>
  </si>
  <si>
    <t>LesMiles, Yoga</t>
  </si>
  <si>
    <t>BodyPump, Running</t>
  </si>
  <si>
    <t>Yoga, Kickboxen, Pilates</t>
  </si>
  <si>
    <t>Kickboxen, Zumba, HIT</t>
  </si>
  <si>
    <t>black_currant, berry_boost</t>
  </si>
  <si>
    <t>Yoga, Zumba</t>
  </si>
  <si>
    <t>Spinning, Zumba</t>
  </si>
  <si>
    <t>Running, Zumba, HIT</t>
  </si>
  <si>
    <t>Running, LesMiles, Spinning</t>
  </si>
  <si>
    <t>BodyPump, BodyBalance, Zumba</t>
  </si>
  <si>
    <t>BodyBalance, Zumba, Kickboxen</t>
  </si>
  <si>
    <t>BodyBalance, LesMiles, Pilates</t>
  </si>
  <si>
    <t>XCore, HIT, Spinning</t>
  </si>
  <si>
    <t>HIT, LesMiles, BodyBalance</t>
  </si>
  <si>
    <t>BodyBalance, Running, LesMiles</t>
  </si>
  <si>
    <t>XCore, Yoga, BodyPump</t>
  </si>
  <si>
    <t>LesMiles, Running</t>
  </si>
  <si>
    <t>Spinning, LesMiles</t>
  </si>
  <si>
    <t>Zumba, LesMiles</t>
  </si>
  <si>
    <t>Kickboxen, BodyPump, HIT</t>
  </si>
  <si>
    <t>BodyBalance, Kickboxen</t>
  </si>
  <si>
    <t>Yoga, Spinning, XCore</t>
  </si>
  <si>
    <t>Yoga, BodyBalance, HIT</t>
  </si>
  <si>
    <t>BodyPump, Pilates</t>
  </si>
  <si>
    <t>XCore, Pilates, LesMiles</t>
  </si>
  <si>
    <t>Spinning, Pilates</t>
  </si>
  <si>
    <t>Spinning, BodyBalance, Zumba</t>
  </si>
  <si>
    <t>Yoga, BodyBalance, Zumba</t>
  </si>
  <si>
    <t>HIT, BodyPump, BodyBalance</t>
  </si>
  <si>
    <t>Yoga, BodyPump, BodyBalance</t>
  </si>
  <si>
    <t>BodyPump, Kickboxen</t>
  </si>
  <si>
    <t>Pilates, HIT, LesMiles</t>
  </si>
  <si>
    <t>HIT, Running, Kickboxen</t>
  </si>
  <si>
    <t>Sat, Thu, Tue, Wed</t>
  </si>
  <si>
    <t>Yoga, Pilates, HIT</t>
  </si>
  <si>
    <t>Yoga, BodyBalance, Running</t>
  </si>
  <si>
    <t>Pilates, BodyPump, Yoga</t>
  </si>
  <si>
    <t>XCore, Yoga, Pilates</t>
  </si>
  <si>
    <t>HIT, Yoga, Kickboxen</t>
  </si>
  <si>
    <t>XCore, Running</t>
  </si>
  <si>
    <t>Pilates, Spinning, Running</t>
  </si>
  <si>
    <t>HIT, Spinning, XCore</t>
  </si>
  <si>
    <t>XCore, HIT</t>
  </si>
  <si>
    <t>Kickboxen, LesMiles, Running</t>
  </si>
  <si>
    <t>Spinning, Pilates, BodyPump</t>
  </si>
  <si>
    <t>Yoga, Zumba, Pilates</t>
  </si>
  <si>
    <t>XCore, LesMiles</t>
  </si>
  <si>
    <t>Zumba, BodyPump, HIT</t>
  </si>
  <si>
    <t>Fri, Sat, Sun, Thu</t>
  </si>
  <si>
    <t>Pilates, BodyPump</t>
  </si>
  <si>
    <t>HIT, Kickboxen, BodyBalance</t>
  </si>
  <si>
    <t>BodyBalance, BodyPump, Running</t>
  </si>
  <si>
    <t>Kickboxen, Zumba, LesMiles</t>
  </si>
  <si>
    <t>XCore, Kickboxen, Yoga</t>
  </si>
  <si>
    <t>Running, Pilates, XCore</t>
  </si>
  <si>
    <t>LesMiles, Running, Zumba</t>
  </si>
  <si>
    <t>BodyPump, XCore, Zumba</t>
  </si>
  <si>
    <t>BodyBalance, Yoga, Running</t>
  </si>
  <si>
    <t>Pilates, Running, BodyPump</t>
  </si>
  <si>
    <t>LesMiles, XCore, BodyPump</t>
  </si>
  <si>
    <t>BodyBalance, Pilates</t>
  </si>
  <si>
    <t>Zumba, Running</t>
  </si>
  <si>
    <t>Kickboxen, LesMiles, BodyPump</t>
  </si>
  <si>
    <t>HIT, Yoga, BodyPump</t>
  </si>
  <si>
    <t>HIT, XCore, Pilates</t>
  </si>
  <si>
    <t>BodyPump, Spinning</t>
  </si>
  <si>
    <t>Fri, Mon, Sat, Sun</t>
  </si>
  <si>
    <t>XCore, Running, LesMiles</t>
  </si>
  <si>
    <t>BodyBalance, Spinning</t>
  </si>
  <si>
    <t>BodyPump, Zumba, Running</t>
  </si>
  <si>
    <t>HIT, BodyPump, XCore</t>
  </si>
  <si>
    <t>Spinning, Running, BodyBalance</t>
  </si>
  <si>
    <t>Pilates, HIT, Running</t>
  </si>
  <si>
    <t>XCore, HIT, Zumba</t>
  </si>
  <si>
    <t>Fri, Sun, Thu, Tue</t>
  </si>
  <si>
    <t>Pilates, HIT, Zumba</t>
  </si>
  <si>
    <t>Zumba, HIT, XCore</t>
  </si>
  <si>
    <t>Kickboxen, LesMiles, HIT</t>
  </si>
  <si>
    <t>BodyPump, Spinning, XCore</t>
  </si>
  <si>
    <t>Spinning, Pilates, Zumba</t>
  </si>
  <si>
    <t>BodyPump, LesMiles, Pilates</t>
  </si>
  <si>
    <t>Yoga, HIT, LesMiles</t>
  </si>
  <si>
    <t>Spinning, LesMiles, BodyPump</t>
  </si>
  <si>
    <t>Mon, Sat, Sun, Tue</t>
  </si>
  <si>
    <t>Zumba, Pilates</t>
  </si>
  <si>
    <t>HIT, Kickboxen</t>
  </si>
  <si>
    <t>Yoga, BodyBalance, XCore</t>
  </si>
  <si>
    <t>HIT, Running, Spinning</t>
  </si>
  <si>
    <t>Yoga, BodyPump, Kickboxen</t>
  </si>
  <si>
    <t>LesMiles, Running, HIT</t>
  </si>
  <si>
    <t>XCore, Kickboxen, Zumba</t>
  </si>
  <si>
    <t>LesMiles, Zumba</t>
  </si>
  <si>
    <t>Pilates, Kickboxen, BodyBalance</t>
  </si>
  <si>
    <t>LesMiles, Zumba, Spinning</t>
  </si>
  <si>
    <t>HIT, XCore</t>
  </si>
  <si>
    <t>Age2</t>
  </si>
  <si>
    <t>Day 1</t>
  </si>
  <si>
    <t>Day 2</t>
  </si>
  <si>
    <t>Day 3</t>
  </si>
  <si>
    <t>Day 4</t>
  </si>
  <si>
    <t>Day 5</t>
  </si>
  <si>
    <t>Row Labels</t>
  </si>
  <si>
    <t>Grand Total</t>
  </si>
  <si>
    <t>Column Labels</t>
  </si>
  <si>
    <t>Days</t>
  </si>
  <si>
    <t>Number of visits</t>
  </si>
  <si>
    <t>fav_group_lesson2</t>
  </si>
  <si>
    <t>fav_group_lesson1</t>
  </si>
  <si>
    <t>fav_group_lesson3</t>
  </si>
  <si>
    <t>Group lesson</t>
  </si>
  <si>
    <t>Number of lessons</t>
  </si>
  <si>
    <t>fav_drink2</t>
  </si>
  <si>
    <t>fav_drink1</t>
  </si>
  <si>
    <t>Favourite drinks</t>
  </si>
  <si>
    <t>No of customers</t>
  </si>
  <si>
    <t>Count of id</t>
  </si>
  <si>
    <t>Gender</t>
  </si>
  <si>
    <t>FALSE</t>
  </si>
  <si>
    <t>TRUE</t>
  </si>
  <si>
    <t>Average time in Gym</t>
  </si>
  <si>
    <t>Number of customers</t>
  </si>
  <si>
    <t>No trainer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</si>
</sst>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d\-mmm\-yy;@"/>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5" formatCode="[$-409]d\-m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visits by the days of the week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Sheet1!$A$12:$A$18</c:f>
              <c:strCache>
                <c:ptCount val="7"/>
                <c:pt idx="0">
                  <c:v>Mon</c:v>
                </c:pt>
                <c:pt idx="1">
                  <c:v>Tue</c:v>
                </c:pt>
                <c:pt idx="2">
                  <c:v>Wed</c:v>
                </c:pt>
                <c:pt idx="3">
                  <c:v>Thu</c:v>
                </c:pt>
                <c:pt idx="4">
                  <c:v>Fri</c:v>
                </c:pt>
                <c:pt idx="5">
                  <c:v>Sat</c:v>
                </c:pt>
                <c:pt idx="6">
                  <c:v>Sun</c:v>
                </c:pt>
              </c:strCache>
            </c:strRef>
          </c:cat>
          <c:val>
            <c:numRef>
              <c:f>Sheet1!$B$12:$B$18</c:f>
              <c:numCache>
                <c:formatCode>General</c:formatCode>
                <c:ptCount val="7"/>
                <c:pt idx="0">
                  <c:v>349</c:v>
                </c:pt>
                <c:pt idx="1">
                  <c:v>391</c:v>
                </c:pt>
                <c:pt idx="2">
                  <c:v>400</c:v>
                </c:pt>
                <c:pt idx="3">
                  <c:v>379</c:v>
                </c:pt>
                <c:pt idx="4">
                  <c:v>376</c:v>
                </c:pt>
                <c:pt idx="5">
                  <c:v>380</c:v>
                </c:pt>
                <c:pt idx="6">
                  <c:v>407</c:v>
                </c:pt>
              </c:numCache>
            </c:numRef>
          </c:val>
          <c:extLst>
            <c:ext xmlns:c16="http://schemas.microsoft.com/office/drawing/2014/chart" uri="{C3380CC4-5D6E-409C-BE32-E72D297353CC}">
              <c16:uniqueId val="{00000000-04A9-4E2E-A67B-67EBE84803BC}"/>
            </c:ext>
          </c:extLst>
        </c:ser>
        <c:dLbls>
          <c:dLblPos val="outEnd"/>
          <c:showLegendKey val="0"/>
          <c:showVal val="1"/>
          <c:showCatName val="0"/>
          <c:showSerName val="0"/>
          <c:showPercent val="0"/>
          <c:showBubbleSize val="0"/>
        </c:dLbls>
        <c:gapWidth val="219"/>
        <c:overlap val="-27"/>
        <c:axId val="1193119615"/>
        <c:axId val="1266555535"/>
      </c:barChart>
      <c:catAx>
        <c:axId val="119311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55535"/>
        <c:crosses val="autoZero"/>
        <c:auto val="1"/>
        <c:lblAlgn val="ctr"/>
        <c:lblOffset val="100"/>
        <c:noMultiLvlLbl val="0"/>
      </c:catAx>
      <c:valAx>
        <c:axId val="1266555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19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a:t>
            </a:r>
            <a:r>
              <a:rPr lang="en-US" b="1" baseline="0"/>
              <a:t> lessons by group lessons type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Sheet1!$B$28</c:f>
              <c:strCache>
                <c:ptCount val="1"/>
                <c:pt idx="0">
                  <c:v>Number of lessons</c:v>
                </c:pt>
              </c:strCache>
            </c:strRef>
          </c:tx>
          <c:spPr>
            <a:solidFill>
              <a:schemeClr val="accent1"/>
            </a:solidFill>
            <a:ln>
              <a:noFill/>
            </a:ln>
            <a:effectLst/>
          </c:spPr>
          <c:invertIfNegative val="0"/>
          <c:cat>
            <c:strRef>
              <c:f>Sheet1!$A$29:$A$39</c:f>
              <c:strCache>
                <c:ptCount val="11"/>
                <c:pt idx="0">
                  <c:v>Kickboxen</c:v>
                </c:pt>
                <c:pt idx="1">
                  <c:v>XCore</c:v>
                </c:pt>
                <c:pt idx="2">
                  <c:v>Running</c:v>
                </c:pt>
                <c:pt idx="3">
                  <c:v>LesMiles</c:v>
                </c:pt>
                <c:pt idx="4">
                  <c:v>Yoga</c:v>
                </c:pt>
                <c:pt idx="5">
                  <c:v>BodyPump</c:v>
                </c:pt>
                <c:pt idx="6">
                  <c:v>Pilates</c:v>
                </c:pt>
                <c:pt idx="7">
                  <c:v>Spinning</c:v>
                </c:pt>
                <c:pt idx="8">
                  <c:v>HIT</c:v>
                </c:pt>
                <c:pt idx="9">
                  <c:v>BodyBalance</c:v>
                </c:pt>
                <c:pt idx="10">
                  <c:v>Zumba</c:v>
                </c:pt>
              </c:strCache>
            </c:strRef>
          </c:cat>
          <c:val>
            <c:numRef>
              <c:f>Sheet1!$B$29:$B$39</c:f>
              <c:numCache>
                <c:formatCode>General</c:formatCode>
                <c:ptCount val="11"/>
                <c:pt idx="0">
                  <c:v>85</c:v>
                </c:pt>
                <c:pt idx="1">
                  <c:v>90</c:v>
                </c:pt>
                <c:pt idx="2">
                  <c:v>82</c:v>
                </c:pt>
                <c:pt idx="3">
                  <c:v>99</c:v>
                </c:pt>
                <c:pt idx="4">
                  <c:v>90</c:v>
                </c:pt>
                <c:pt idx="5">
                  <c:v>112</c:v>
                </c:pt>
                <c:pt idx="6">
                  <c:v>95</c:v>
                </c:pt>
                <c:pt idx="7">
                  <c:v>85</c:v>
                </c:pt>
                <c:pt idx="8">
                  <c:v>97</c:v>
                </c:pt>
                <c:pt idx="9">
                  <c:v>87</c:v>
                </c:pt>
                <c:pt idx="10">
                  <c:v>81</c:v>
                </c:pt>
              </c:numCache>
            </c:numRef>
          </c:val>
          <c:extLst>
            <c:ext xmlns:c16="http://schemas.microsoft.com/office/drawing/2014/chart" uri="{C3380CC4-5D6E-409C-BE32-E72D297353CC}">
              <c16:uniqueId val="{00000000-1A9F-4FFA-BF2A-DDF781E05089}"/>
            </c:ext>
          </c:extLst>
        </c:ser>
        <c:dLbls>
          <c:showLegendKey val="0"/>
          <c:showVal val="0"/>
          <c:showCatName val="0"/>
          <c:showSerName val="0"/>
          <c:showPercent val="0"/>
          <c:showBubbleSize val="0"/>
        </c:dLbls>
        <c:gapWidth val="219"/>
        <c:overlap val="-27"/>
        <c:axId val="63960591"/>
        <c:axId val="1928830031"/>
      </c:barChart>
      <c:catAx>
        <c:axId val="6396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30031"/>
        <c:crosses val="autoZero"/>
        <c:auto val="1"/>
        <c:lblAlgn val="ctr"/>
        <c:lblOffset val="100"/>
        <c:noMultiLvlLbl val="0"/>
      </c:catAx>
      <c:valAx>
        <c:axId val="192883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0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dashboard.xlsx]Sheet2!PivotTable17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Customer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6C-4692-B286-2D92DC592D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6C-4692-B286-2D92DC592D3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Sheet2!$A$21:$A$23</c:f>
              <c:strCache>
                <c:ptCount val="2"/>
                <c:pt idx="0">
                  <c:v>Female</c:v>
                </c:pt>
                <c:pt idx="1">
                  <c:v>Male</c:v>
                </c:pt>
              </c:strCache>
            </c:strRef>
          </c:cat>
          <c:val>
            <c:numRef>
              <c:f>Sheet2!$B$21:$B$23</c:f>
              <c:numCache>
                <c:formatCode>General</c:formatCode>
                <c:ptCount val="2"/>
                <c:pt idx="0">
                  <c:v>503</c:v>
                </c:pt>
                <c:pt idx="1">
                  <c:v>497</c:v>
                </c:pt>
              </c:numCache>
            </c:numRef>
          </c:val>
          <c:extLst>
            <c:ext xmlns:c16="http://schemas.microsoft.com/office/drawing/2014/chart" uri="{C3380CC4-5D6E-409C-BE32-E72D297353CC}">
              <c16:uniqueId val="{00000004-C66C-4692-B286-2D92DC592D3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dashboard.xlsx]Sheet2!PivotTable18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Sheet2!$B$32</c:f>
              <c:strCache>
                <c:ptCount val="1"/>
                <c:pt idx="0">
                  <c:v>Total</c:v>
                </c:pt>
              </c:strCache>
            </c:strRef>
          </c:tx>
          <c:spPr>
            <a:solidFill>
              <a:schemeClr val="accent1"/>
            </a:solidFill>
            <a:ln>
              <a:noFill/>
            </a:ln>
            <a:effectLst/>
          </c:spPr>
          <c:invertIfNegative val="0"/>
          <c:cat>
            <c:strRef>
              <c:f>Sheet2!$A$33:$A$72</c:f>
              <c:strCache>
                <c:ptCount val="39"/>
                <c:pt idx="0">
                  <c:v>13.00</c:v>
                </c:pt>
                <c:pt idx="1">
                  <c:v>14.00</c:v>
                </c:pt>
                <c:pt idx="2">
                  <c:v>15.00</c:v>
                </c:pt>
                <c:pt idx="3">
                  <c:v>16.00</c:v>
                </c:pt>
                <c:pt idx="4">
                  <c:v>17.00</c:v>
                </c:pt>
                <c:pt idx="5">
                  <c:v>18.00</c:v>
                </c:pt>
                <c:pt idx="6">
                  <c:v>19.00</c:v>
                </c:pt>
                <c:pt idx="7">
                  <c:v>20.00</c:v>
                </c:pt>
                <c:pt idx="8">
                  <c:v>21.00</c:v>
                </c:pt>
                <c:pt idx="9">
                  <c:v>22.00</c:v>
                </c:pt>
                <c:pt idx="10">
                  <c:v>23.00</c:v>
                </c:pt>
                <c:pt idx="11">
                  <c:v>24.00</c:v>
                </c:pt>
                <c:pt idx="12">
                  <c:v>25.00</c:v>
                </c:pt>
                <c:pt idx="13">
                  <c:v>26.00</c:v>
                </c:pt>
                <c:pt idx="14">
                  <c:v>27.00</c:v>
                </c:pt>
                <c:pt idx="15">
                  <c:v>28.00</c:v>
                </c:pt>
                <c:pt idx="16">
                  <c:v>29.00</c:v>
                </c:pt>
                <c:pt idx="17">
                  <c:v>30.00</c:v>
                </c:pt>
                <c:pt idx="18">
                  <c:v>31.00</c:v>
                </c:pt>
                <c:pt idx="19">
                  <c:v>32.00</c:v>
                </c:pt>
                <c:pt idx="20">
                  <c:v>33.00</c:v>
                </c:pt>
                <c:pt idx="21">
                  <c:v>34.00</c:v>
                </c:pt>
                <c:pt idx="22">
                  <c:v>35.00</c:v>
                </c:pt>
                <c:pt idx="23">
                  <c:v>36.00</c:v>
                </c:pt>
                <c:pt idx="24">
                  <c:v>37.00</c:v>
                </c:pt>
                <c:pt idx="25">
                  <c:v>38.00</c:v>
                </c:pt>
                <c:pt idx="26">
                  <c:v>39.00</c:v>
                </c:pt>
                <c:pt idx="27">
                  <c:v>40.00</c:v>
                </c:pt>
                <c:pt idx="28">
                  <c:v>41.00</c:v>
                </c:pt>
                <c:pt idx="29">
                  <c:v>42.00</c:v>
                </c:pt>
                <c:pt idx="30">
                  <c:v>43.00</c:v>
                </c:pt>
                <c:pt idx="31">
                  <c:v>44.00</c:v>
                </c:pt>
                <c:pt idx="32">
                  <c:v>45.00</c:v>
                </c:pt>
                <c:pt idx="33">
                  <c:v>46.00</c:v>
                </c:pt>
                <c:pt idx="34">
                  <c:v>47.00</c:v>
                </c:pt>
                <c:pt idx="35">
                  <c:v>48.00</c:v>
                </c:pt>
                <c:pt idx="36">
                  <c:v>49.00</c:v>
                </c:pt>
                <c:pt idx="37">
                  <c:v>50.00</c:v>
                </c:pt>
                <c:pt idx="38">
                  <c:v>51.00</c:v>
                </c:pt>
              </c:strCache>
            </c:strRef>
          </c:cat>
          <c:val>
            <c:numRef>
              <c:f>Sheet2!$B$33:$B$72</c:f>
              <c:numCache>
                <c:formatCode>General</c:formatCode>
                <c:ptCount val="39"/>
                <c:pt idx="0">
                  <c:v>5</c:v>
                </c:pt>
                <c:pt idx="1">
                  <c:v>16</c:v>
                </c:pt>
                <c:pt idx="2">
                  <c:v>26</c:v>
                </c:pt>
                <c:pt idx="3">
                  <c:v>30</c:v>
                </c:pt>
                <c:pt idx="4">
                  <c:v>21</c:v>
                </c:pt>
                <c:pt idx="5">
                  <c:v>23</c:v>
                </c:pt>
                <c:pt idx="6">
                  <c:v>26</c:v>
                </c:pt>
                <c:pt idx="7">
                  <c:v>31</c:v>
                </c:pt>
                <c:pt idx="8">
                  <c:v>27</c:v>
                </c:pt>
                <c:pt idx="9">
                  <c:v>25</c:v>
                </c:pt>
                <c:pt idx="10">
                  <c:v>25</c:v>
                </c:pt>
                <c:pt idx="11">
                  <c:v>25</c:v>
                </c:pt>
                <c:pt idx="12">
                  <c:v>32</c:v>
                </c:pt>
                <c:pt idx="13">
                  <c:v>29</c:v>
                </c:pt>
                <c:pt idx="14">
                  <c:v>22</c:v>
                </c:pt>
                <c:pt idx="15">
                  <c:v>38</c:v>
                </c:pt>
                <c:pt idx="16">
                  <c:v>26</c:v>
                </c:pt>
                <c:pt idx="17">
                  <c:v>22</c:v>
                </c:pt>
                <c:pt idx="18">
                  <c:v>35</c:v>
                </c:pt>
                <c:pt idx="19">
                  <c:v>24</c:v>
                </c:pt>
                <c:pt idx="20">
                  <c:v>22</c:v>
                </c:pt>
                <c:pt idx="21">
                  <c:v>20</c:v>
                </c:pt>
                <c:pt idx="22">
                  <c:v>27</c:v>
                </c:pt>
                <c:pt idx="23">
                  <c:v>26</c:v>
                </c:pt>
                <c:pt idx="24">
                  <c:v>29</c:v>
                </c:pt>
                <c:pt idx="25">
                  <c:v>40</c:v>
                </c:pt>
                <c:pt idx="26">
                  <c:v>24</c:v>
                </c:pt>
                <c:pt idx="27">
                  <c:v>17</c:v>
                </c:pt>
                <c:pt idx="28">
                  <c:v>36</c:v>
                </c:pt>
                <c:pt idx="29">
                  <c:v>26</c:v>
                </c:pt>
                <c:pt idx="30">
                  <c:v>24</c:v>
                </c:pt>
                <c:pt idx="31">
                  <c:v>20</c:v>
                </c:pt>
                <c:pt idx="32">
                  <c:v>29</c:v>
                </c:pt>
                <c:pt idx="33">
                  <c:v>22</c:v>
                </c:pt>
                <c:pt idx="34">
                  <c:v>30</c:v>
                </c:pt>
                <c:pt idx="35">
                  <c:v>19</c:v>
                </c:pt>
                <c:pt idx="36">
                  <c:v>31</c:v>
                </c:pt>
                <c:pt idx="37">
                  <c:v>24</c:v>
                </c:pt>
                <c:pt idx="38">
                  <c:v>26</c:v>
                </c:pt>
              </c:numCache>
            </c:numRef>
          </c:val>
          <c:extLst>
            <c:ext xmlns:c16="http://schemas.microsoft.com/office/drawing/2014/chart" uri="{C3380CC4-5D6E-409C-BE32-E72D297353CC}">
              <c16:uniqueId val="{00000000-FC6F-440F-B630-EC8CEC703CDF}"/>
            </c:ext>
          </c:extLst>
        </c:ser>
        <c:dLbls>
          <c:showLegendKey val="0"/>
          <c:showVal val="0"/>
          <c:showCatName val="0"/>
          <c:showSerName val="0"/>
          <c:showPercent val="0"/>
          <c:showBubbleSize val="0"/>
        </c:dLbls>
        <c:gapWidth val="219"/>
        <c:overlap val="-27"/>
        <c:axId val="112757344"/>
        <c:axId val="2109642479"/>
      </c:barChart>
      <c:catAx>
        <c:axId val="11275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42479"/>
        <c:crosses val="autoZero"/>
        <c:auto val="1"/>
        <c:lblAlgn val="ctr"/>
        <c:lblOffset val="100"/>
        <c:noMultiLvlLbl val="0"/>
      </c:catAx>
      <c:valAx>
        <c:axId val="2109642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dashboard.xlsx]Sheet3!PivotTable19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visits by customer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Sheet3!$B$4:$B$5</c:f>
              <c:strCache>
                <c:ptCount val="1"/>
                <c:pt idx="0">
                  <c:v>1</c:v>
                </c:pt>
              </c:strCache>
            </c:strRef>
          </c:tx>
          <c:spPr>
            <a:solidFill>
              <a:schemeClr val="accent1"/>
            </a:solidFill>
            <a:ln>
              <a:noFill/>
            </a:ln>
            <a:effectLst/>
          </c:spPr>
          <c:invertIfNegative val="0"/>
          <c:cat>
            <c:strRef>
              <c:f>Sheet3!$A$6:$A$8</c:f>
              <c:strCache>
                <c:ptCount val="2"/>
                <c:pt idx="0">
                  <c:v>Female</c:v>
                </c:pt>
                <c:pt idx="1">
                  <c:v>Male</c:v>
                </c:pt>
              </c:strCache>
            </c:strRef>
          </c:cat>
          <c:val>
            <c:numRef>
              <c:f>Sheet3!$B$6:$B$8</c:f>
              <c:numCache>
                <c:formatCode>General</c:formatCode>
                <c:ptCount val="2"/>
                <c:pt idx="0">
                  <c:v>98</c:v>
                </c:pt>
                <c:pt idx="1">
                  <c:v>96</c:v>
                </c:pt>
              </c:numCache>
            </c:numRef>
          </c:val>
          <c:extLst>
            <c:ext xmlns:c16="http://schemas.microsoft.com/office/drawing/2014/chart" uri="{C3380CC4-5D6E-409C-BE32-E72D297353CC}">
              <c16:uniqueId val="{00000000-80FF-4703-B867-1A1710224394}"/>
            </c:ext>
          </c:extLst>
        </c:ser>
        <c:ser>
          <c:idx val="1"/>
          <c:order val="1"/>
          <c:tx>
            <c:strRef>
              <c:f>Sheet3!$C$4:$C$5</c:f>
              <c:strCache>
                <c:ptCount val="1"/>
                <c:pt idx="0">
                  <c:v>2</c:v>
                </c:pt>
              </c:strCache>
            </c:strRef>
          </c:tx>
          <c:spPr>
            <a:solidFill>
              <a:schemeClr val="accent2"/>
            </a:solidFill>
            <a:ln>
              <a:noFill/>
            </a:ln>
            <a:effectLst/>
          </c:spPr>
          <c:invertIfNegative val="0"/>
          <c:cat>
            <c:strRef>
              <c:f>Sheet3!$A$6:$A$8</c:f>
              <c:strCache>
                <c:ptCount val="2"/>
                <c:pt idx="0">
                  <c:v>Female</c:v>
                </c:pt>
                <c:pt idx="1">
                  <c:v>Male</c:v>
                </c:pt>
              </c:strCache>
            </c:strRef>
          </c:cat>
          <c:val>
            <c:numRef>
              <c:f>Sheet3!$C$6:$C$8</c:f>
              <c:numCache>
                <c:formatCode>General</c:formatCode>
                <c:ptCount val="2"/>
                <c:pt idx="0">
                  <c:v>132</c:v>
                </c:pt>
                <c:pt idx="1">
                  <c:v>142</c:v>
                </c:pt>
              </c:numCache>
            </c:numRef>
          </c:val>
          <c:extLst>
            <c:ext xmlns:c16="http://schemas.microsoft.com/office/drawing/2014/chart" uri="{C3380CC4-5D6E-409C-BE32-E72D297353CC}">
              <c16:uniqueId val="{00000001-80FF-4703-B867-1A1710224394}"/>
            </c:ext>
          </c:extLst>
        </c:ser>
        <c:ser>
          <c:idx val="2"/>
          <c:order val="2"/>
          <c:tx>
            <c:strRef>
              <c:f>Sheet3!$D$4:$D$5</c:f>
              <c:strCache>
                <c:ptCount val="1"/>
                <c:pt idx="0">
                  <c:v>3</c:v>
                </c:pt>
              </c:strCache>
            </c:strRef>
          </c:tx>
          <c:spPr>
            <a:solidFill>
              <a:schemeClr val="accent3"/>
            </a:solidFill>
            <a:ln>
              <a:noFill/>
            </a:ln>
            <a:effectLst/>
          </c:spPr>
          <c:invertIfNegative val="0"/>
          <c:cat>
            <c:strRef>
              <c:f>Sheet3!$A$6:$A$8</c:f>
              <c:strCache>
                <c:ptCount val="2"/>
                <c:pt idx="0">
                  <c:v>Female</c:v>
                </c:pt>
                <c:pt idx="1">
                  <c:v>Male</c:v>
                </c:pt>
              </c:strCache>
            </c:strRef>
          </c:cat>
          <c:val>
            <c:numRef>
              <c:f>Sheet3!$D$6:$D$8</c:f>
              <c:numCache>
                <c:formatCode>General</c:formatCode>
                <c:ptCount val="2"/>
                <c:pt idx="0">
                  <c:v>152</c:v>
                </c:pt>
                <c:pt idx="1">
                  <c:v>160</c:v>
                </c:pt>
              </c:numCache>
            </c:numRef>
          </c:val>
          <c:extLst>
            <c:ext xmlns:c16="http://schemas.microsoft.com/office/drawing/2014/chart" uri="{C3380CC4-5D6E-409C-BE32-E72D297353CC}">
              <c16:uniqueId val="{00000002-80FF-4703-B867-1A1710224394}"/>
            </c:ext>
          </c:extLst>
        </c:ser>
        <c:ser>
          <c:idx val="3"/>
          <c:order val="3"/>
          <c:tx>
            <c:strRef>
              <c:f>Sheet3!$E$4:$E$5</c:f>
              <c:strCache>
                <c:ptCount val="1"/>
                <c:pt idx="0">
                  <c:v>4</c:v>
                </c:pt>
              </c:strCache>
            </c:strRef>
          </c:tx>
          <c:spPr>
            <a:solidFill>
              <a:schemeClr val="accent4"/>
            </a:solidFill>
            <a:ln>
              <a:noFill/>
            </a:ln>
            <a:effectLst/>
          </c:spPr>
          <c:invertIfNegative val="0"/>
          <c:cat>
            <c:strRef>
              <c:f>Sheet3!$A$6:$A$8</c:f>
              <c:strCache>
                <c:ptCount val="2"/>
                <c:pt idx="0">
                  <c:v>Female</c:v>
                </c:pt>
                <c:pt idx="1">
                  <c:v>Male</c:v>
                </c:pt>
              </c:strCache>
            </c:strRef>
          </c:cat>
          <c:val>
            <c:numRef>
              <c:f>Sheet3!$E$6:$E$8</c:f>
              <c:numCache>
                <c:formatCode>General</c:formatCode>
                <c:ptCount val="2"/>
                <c:pt idx="0">
                  <c:v>56</c:v>
                </c:pt>
                <c:pt idx="1">
                  <c:v>40</c:v>
                </c:pt>
              </c:numCache>
            </c:numRef>
          </c:val>
          <c:extLst>
            <c:ext xmlns:c16="http://schemas.microsoft.com/office/drawing/2014/chart" uri="{C3380CC4-5D6E-409C-BE32-E72D297353CC}">
              <c16:uniqueId val="{00000002-0D6F-4C58-A724-94BCDF7D9E02}"/>
            </c:ext>
          </c:extLst>
        </c:ser>
        <c:ser>
          <c:idx val="4"/>
          <c:order val="4"/>
          <c:tx>
            <c:strRef>
              <c:f>Sheet3!$F$4:$F$5</c:f>
              <c:strCache>
                <c:ptCount val="1"/>
                <c:pt idx="0">
                  <c:v>5</c:v>
                </c:pt>
              </c:strCache>
            </c:strRef>
          </c:tx>
          <c:spPr>
            <a:solidFill>
              <a:schemeClr val="accent5"/>
            </a:solidFill>
            <a:ln>
              <a:noFill/>
            </a:ln>
            <a:effectLst/>
          </c:spPr>
          <c:invertIfNegative val="0"/>
          <c:cat>
            <c:strRef>
              <c:f>Sheet3!$A$6:$A$8</c:f>
              <c:strCache>
                <c:ptCount val="2"/>
                <c:pt idx="0">
                  <c:v>Female</c:v>
                </c:pt>
                <c:pt idx="1">
                  <c:v>Male</c:v>
                </c:pt>
              </c:strCache>
            </c:strRef>
          </c:cat>
          <c:val>
            <c:numRef>
              <c:f>Sheet3!$F$6:$F$8</c:f>
              <c:numCache>
                <c:formatCode>General</c:formatCode>
                <c:ptCount val="2"/>
                <c:pt idx="0">
                  <c:v>65</c:v>
                </c:pt>
                <c:pt idx="1">
                  <c:v>59</c:v>
                </c:pt>
              </c:numCache>
            </c:numRef>
          </c:val>
          <c:extLst>
            <c:ext xmlns:c16="http://schemas.microsoft.com/office/drawing/2014/chart" uri="{C3380CC4-5D6E-409C-BE32-E72D297353CC}">
              <c16:uniqueId val="{00000003-0D6F-4C58-A724-94BCDF7D9E02}"/>
            </c:ext>
          </c:extLst>
        </c:ser>
        <c:dLbls>
          <c:showLegendKey val="0"/>
          <c:showVal val="0"/>
          <c:showCatName val="0"/>
          <c:showSerName val="0"/>
          <c:showPercent val="0"/>
          <c:showBubbleSize val="0"/>
        </c:dLbls>
        <c:gapWidth val="219"/>
        <c:overlap val="-27"/>
        <c:axId val="112795856"/>
        <c:axId val="2109658799"/>
      </c:barChart>
      <c:catAx>
        <c:axId val="11279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58799"/>
        <c:crosses val="autoZero"/>
        <c:auto val="1"/>
        <c:lblAlgn val="ctr"/>
        <c:lblOffset val="100"/>
        <c:noMultiLvlLbl val="0"/>
      </c:catAx>
      <c:valAx>
        <c:axId val="210965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9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dashboard.xlsx]Sheet3!PivotTable20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Sauna</a:t>
            </a:r>
            <a:r>
              <a:rPr lang="en-US" b="1" baseline="0"/>
              <a:t> usage by Customer Gender</a:t>
            </a:r>
            <a:endParaRPr lang="en-US" b="1"/>
          </a:p>
        </c:rich>
      </c:tx>
      <c:layout>
        <c:manualLayout>
          <c:xMode val="edge"/>
          <c:yMode val="edge"/>
          <c:x val="0.16501668447222992"/>
          <c:y val="3.3970268436449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Sheet3!$B$17:$B$18</c:f>
              <c:strCache>
                <c:ptCount val="1"/>
                <c:pt idx="0">
                  <c:v>FALSE</c:v>
                </c:pt>
              </c:strCache>
            </c:strRef>
          </c:tx>
          <c:spPr>
            <a:solidFill>
              <a:schemeClr val="accent1"/>
            </a:solidFill>
            <a:ln>
              <a:noFill/>
            </a:ln>
            <a:effectLst/>
          </c:spPr>
          <c:invertIfNegative val="0"/>
          <c:cat>
            <c:strRef>
              <c:f>Sheet3!$A$19:$A$21</c:f>
              <c:strCache>
                <c:ptCount val="2"/>
                <c:pt idx="0">
                  <c:v>Female</c:v>
                </c:pt>
                <c:pt idx="1">
                  <c:v>Male</c:v>
                </c:pt>
              </c:strCache>
            </c:strRef>
          </c:cat>
          <c:val>
            <c:numRef>
              <c:f>Sheet3!$B$19:$B$21</c:f>
              <c:numCache>
                <c:formatCode>General</c:formatCode>
                <c:ptCount val="2"/>
                <c:pt idx="0">
                  <c:v>262</c:v>
                </c:pt>
                <c:pt idx="1">
                  <c:v>245</c:v>
                </c:pt>
              </c:numCache>
            </c:numRef>
          </c:val>
          <c:extLst>
            <c:ext xmlns:c16="http://schemas.microsoft.com/office/drawing/2014/chart" uri="{C3380CC4-5D6E-409C-BE32-E72D297353CC}">
              <c16:uniqueId val="{00000000-C22B-4BC3-88E4-6D8F3EF46A91}"/>
            </c:ext>
          </c:extLst>
        </c:ser>
        <c:ser>
          <c:idx val="1"/>
          <c:order val="1"/>
          <c:tx>
            <c:strRef>
              <c:f>Sheet3!$C$17:$C$18</c:f>
              <c:strCache>
                <c:ptCount val="1"/>
                <c:pt idx="0">
                  <c:v>TRUE</c:v>
                </c:pt>
              </c:strCache>
            </c:strRef>
          </c:tx>
          <c:spPr>
            <a:solidFill>
              <a:schemeClr val="accent2"/>
            </a:solidFill>
            <a:ln>
              <a:noFill/>
            </a:ln>
            <a:effectLst/>
          </c:spPr>
          <c:invertIfNegative val="0"/>
          <c:cat>
            <c:strRef>
              <c:f>Sheet3!$A$19:$A$21</c:f>
              <c:strCache>
                <c:ptCount val="2"/>
                <c:pt idx="0">
                  <c:v>Female</c:v>
                </c:pt>
                <c:pt idx="1">
                  <c:v>Male</c:v>
                </c:pt>
              </c:strCache>
            </c:strRef>
          </c:cat>
          <c:val>
            <c:numRef>
              <c:f>Sheet3!$C$19:$C$21</c:f>
              <c:numCache>
                <c:formatCode>General</c:formatCode>
                <c:ptCount val="2"/>
                <c:pt idx="0">
                  <c:v>241</c:v>
                </c:pt>
                <c:pt idx="1">
                  <c:v>252</c:v>
                </c:pt>
              </c:numCache>
            </c:numRef>
          </c:val>
          <c:extLst>
            <c:ext xmlns:c16="http://schemas.microsoft.com/office/drawing/2014/chart" uri="{C3380CC4-5D6E-409C-BE32-E72D297353CC}">
              <c16:uniqueId val="{00000001-C22B-4BC3-88E4-6D8F3EF46A91}"/>
            </c:ext>
          </c:extLst>
        </c:ser>
        <c:dLbls>
          <c:showLegendKey val="0"/>
          <c:showVal val="0"/>
          <c:showCatName val="0"/>
          <c:showSerName val="0"/>
          <c:showPercent val="0"/>
          <c:showBubbleSize val="0"/>
        </c:dLbls>
        <c:gapWidth val="219"/>
        <c:overlap val="-27"/>
        <c:axId val="228253008"/>
        <c:axId val="2109659759"/>
      </c:barChart>
      <c:catAx>
        <c:axId val="22825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59759"/>
        <c:crosses val="autoZero"/>
        <c:auto val="1"/>
        <c:lblAlgn val="ctr"/>
        <c:lblOffset val="100"/>
        <c:noMultiLvlLbl val="0"/>
      </c:catAx>
      <c:valAx>
        <c:axId val="210965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5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dashboard.xlsx]Sheet4!PivotTable21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customer by Average time in Gym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c:f>
              <c:strCache>
                <c:ptCount val="1"/>
                <c:pt idx="0">
                  <c:v>Total</c:v>
                </c:pt>
              </c:strCache>
            </c:strRef>
          </c:tx>
          <c:spPr>
            <a:solidFill>
              <a:schemeClr val="accent1"/>
            </a:solidFill>
            <a:ln>
              <a:noFill/>
            </a:ln>
            <a:effectLst/>
          </c:spPr>
          <c:invertIfNegative val="0"/>
          <c:cat>
            <c:strRef>
              <c:f>Sheet4!$A$5:$A$16</c:f>
              <c:strCache>
                <c:ptCount val="11"/>
                <c:pt idx="0">
                  <c:v>161</c:v>
                </c:pt>
                <c:pt idx="1">
                  <c:v>156</c:v>
                </c:pt>
                <c:pt idx="2">
                  <c:v>149</c:v>
                </c:pt>
                <c:pt idx="3">
                  <c:v>141</c:v>
                </c:pt>
                <c:pt idx="4">
                  <c:v>138</c:v>
                </c:pt>
                <c:pt idx="5">
                  <c:v>135</c:v>
                </c:pt>
                <c:pt idx="6">
                  <c:v>107</c:v>
                </c:pt>
                <c:pt idx="7">
                  <c:v>105</c:v>
                </c:pt>
                <c:pt idx="8">
                  <c:v>93</c:v>
                </c:pt>
                <c:pt idx="9">
                  <c:v>67</c:v>
                </c:pt>
                <c:pt idx="10">
                  <c:v>56</c:v>
                </c:pt>
              </c:strCache>
            </c:strRef>
          </c:cat>
          <c:val>
            <c:numRef>
              <c:f>Sheet4!$B$5:$B$16</c:f>
              <c:numCache>
                <c:formatCode>General</c:formatCode>
                <c:ptCount val="11"/>
                <c:pt idx="0">
                  <c:v>12</c:v>
                </c:pt>
                <c:pt idx="1">
                  <c:v>12</c:v>
                </c:pt>
                <c:pt idx="2">
                  <c:v>11</c:v>
                </c:pt>
                <c:pt idx="3">
                  <c:v>12</c:v>
                </c:pt>
                <c:pt idx="4">
                  <c:v>12</c:v>
                </c:pt>
                <c:pt idx="5">
                  <c:v>11</c:v>
                </c:pt>
                <c:pt idx="6">
                  <c:v>12</c:v>
                </c:pt>
                <c:pt idx="7">
                  <c:v>12</c:v>
                </c:pt>
                <c:pt idx="8">
                  <c:v>13</c:v>
                </c:pt>
                <c:pt idx="9">
                  <c:v>14</c:v>
                </c:pt>
                <c:pt idx="10">
                  <c:v>14</c:v>
                </c:pt>
              </c:numCache>
            </c:numRef>
          </c:val>
          <c:extLst>
            <c:ext xmlns:c16="http://schemas.microsoft.com/office/drawing/2014/chart" uri="{C3380CC4-5D6E-409C-BE32-E72D297353CC}">
              <c16:uniqueId val="{00000000-4E3B-4EC4-9FAE-423CA2BD34B1}"/>
            </c:ext>
          </c:extLst>
        </c:ser>
        <c:dLbls>
          <c:showLegendKey val="0"/>
          <c:showVal val="0"/>
          <c:showCatName val="0"/>
          <c:showSerName val="0"/>
          <c:showPercent val="0"/>
          <c:showBubbleSize val="0"/>
        </c:dLbls>
        <c:gapWidth val="182"/>
        <c:axId val="228270640"/>
        <c:axId val="2109677519"/>
      </c:barChart>
      <c:catAx>
        <c:axId val="22827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77519"/>
        <c:crosses val="autoZero"/>
        <c:auto val="1"/>
        <c:lblAlgn val="ctr"/>
        <c:lblOffset val="100"/>
        <c:noMultiLvlLbl val="0"/>
      </c:catAx>
      <c:valAx>
        <c:axId val="210967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7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dashboard.xlsx]Sheet4!PivotTable22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customers by Gender and Personal training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Sheet4!$B$21:$B$22</c:f>
              <c:strCache>
                <c:ptCount val="1"/>
                <c:pt idx="0">
                  <c:v>FALSE</c:v>
                </c:pt>
              </c:strCache>
            </c:strRef>
          </c:tx>
          <c:spPr>
            <a:solidFill>
              <a:schemeClr val="accent1"/>
            </a:solidFill>
            <a:ln>
              <a:noFill/>
            </a:ln>
            <a:effectLst/>
          </c:spPr>
          <c:invertIfNegative val="0"/>
          <c:cat>
            <c:strRef>
              <c:f>Sheet4!$A$23:$A$25</c:f>
              <c:strCache>
                <c:ptCount val="2"/>
                <c:pt idx="0">
                  <c:v>Female</c:v>
                </c:pt>
                <c:pt idx="1">
                  <c:v>Male</c:v>
                </c:pt>
              </c:strCache>
            </c:strRef>
          </c:cat>
          <c:val>
            <c:numRef>
              <c:f>Sheet4!$B$23:$B$25</c:f>
              <c:numCache>
                <c:formatCode>General</c:formatCode>
                <c:ptCount val="2"/>
                <c:pt idx="0">
                  <c:v>255</c:v>
                </c:pt>
                <c:pt idx="1">
                  <c:v>227</c:v>
                </c:pt>
              </c:numCache>
            </c:numRef>
          </c:val>
          <c:extLst>
            <c:ext xmlns:c16="http://schemas.microsoft.com/office/drawing/2014/chart" uri="{C3380CC4-5D6E-409C-BE32-E72D297353CC}">
              <c16:uniqueId val="{00000000-EA28-40F0-9D9C-38D9C2D00735}"/>
            </c:ext>
          </c:extLst>
        </c:ser>
        <c:ser>
          <c:idx val="1"/>
          <c:order val="1"/>
          <c:tx>
            <c:strRef>
              <c:f>Sheet4!$C$21:$C$22</c:f>
              <c:strCache>
                <c:ptCount val="1"/>
                <c:pt idx="0">
                  <c:v>TRUE</c:v>
                </c:pt>
              </c:strCache>
            </c:strRef>
          </c:tx>
          <c:spPr>
            <a:solidFill>
              <a:schemeClr val="accent2"/>
            </a:solidFill>
            <a:ln>
              <a:noFill/>
            </a:ln>
            <a:effectLst/>
          </c:spPr>
          <c:invertIfNegative val="0"/>
          <c:cat>
            <c:strRef>
              <c:f>Sheet4!$A$23:$A$25</c:f>
              <c:strCache>
                <c:ptCount val="2"/>
                <c:pt idx="0">
                  <c:v>Female</c:v>
                </c:pt>
                <c:pt idx="1">
                  <c:v>Male</c:v>
                </c:pt>
              </c:strCache>
            </c:strRef>
          </c:cat>
          <c:val>
            <c:numRef>
              <c:f>Sheet4!$C$23:$C$25</c:f>
              <c:numCache>
                <c:formatCode>General</c:formatCode>
                <c:ptCount val="2"/>
                <c:pt idx="0">
                  <c:v>248</c:v>
                </c:pt>
                <c:pt idx="1">
                  <c:v>270</c:v>
                </c:pt>
              </c:numCache>
            </c:numRef>
          </c:val>
          <c:extLst>
            <c:ext xmlns:c16="http://schemas.microsoft.com/office/drawing/2014/chart" uri="{C3380CC4-5D6E-409C-BE32-E72D297353CC}">
              <c16:uniqueId val="{00000003-20D4-45F4-81B0-1A5B27FD81B6}"/>
            </c:ext>
          </c:extLst>
        </c:ser>
        <c:dLbls>
          <c:showLegendKey val="0"/>
          <c:showVal val="0"/>
          <c:showCatName val="0"/>
          <c:showSerName val="0"/>
          <c:showPercent val="0"/>
          <c:showBubbleSize val="0"/>
        </c:dLbls>
        <c:gapWidth val="182"/>
        <c:axId val="112705840"/>
        <c:axId val="2109667439"/>
      </c:barChart>
      <c:catAx>
        <c:axId val="1127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67439"/>
        <c:crosses val="autoZero"/>
        <c:auto val="1"/>
        <c:lblAlgn val="ctr"/>
        <c:lblOffset val="100"/>
        <c:noMultiLvlLbl val="0"/>
      </c:catAx>
      <c:valAx>
        <c:axId val="2109667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dashboard.xlsx]Sheet4!PivotTable23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Customers</a:t>
            </a:r>
            <a:r>
              <a:rPr lang="en-US" b="1" baseline="0"/>
              <a:t> by Personal trainer</a:t>
            </a:r>
            <a:endParaRPr lang="en-US" b="1"/>
          </a:p>
        </c:rich>
      </c:tx>
      <c:layout>
        <c:manualLayout>
          <c:xMode val="edge"/>
          <c:yMode val="edge"/>
          <c:x val="0.117271826870697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Sheet4!$U$5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0-411B-8E01-3AAD8CA40C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0-411B-8E01-3AAD8CA40C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00-411B-8E01-3AAD8CA40C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00-411B-8E01-3AAD8CA40C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00-411B-8E01-3AAD8CA40C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Sheet4!$T$6:$T$11</c:f>
              <c:strCache>
                <c:ptCount val="5"/>
                <c:pt idx="0">
                  <c:v>Chantal</c:v>
                </c:pt>
                <c:pt idx="1">
                  <c:v>Hanna</c:v>
                </c:pt>
                <c:pt idx="2">
                  <c:v>Jeffrey</c:v>
                </c:pt>
                <c:pt idx="3">
                  <c:v>Mike</c:v>
                </c:pt>
                <c:pt idx="4">
                  <c:v>No trainer</c:v>
                </c:pt>
              </c:strCache>
            </c:strRef>
          </c:cat>
          <c:val>
            <c:numRef>
              <c:f>Sheet4!$U$6:$U$11</c:f>
              <c:numCache>
                <c:formatCode>General</c:formatCode>
                <c:ptCount val="5"/>
                <c:pt idx="0">
                  <c:v>153</c:v>
                </c:pt>
                <c:pt idx="1">
                  <c:v>114</c:v>
                </c:pt>
                <c:pt idx="2">
                  <c:v>111</c:v>
                </c:pt>
                <c:pt idx="3">
                  <c:v>140</c:v>
                </c:pt>
                <c:pt idx="4">
                  <c:v>482</c:v>
                </c:pt>
              </c:numCache>
            </c:numRef>
          </c:val>
          <c:extLst>
            <c:ext xmlns:c16="http://schemas.microsoft.com/office/drawing/2014/chart" uri="{C3380CC4-5D6E-409C-BE32-E72D297353CC}">
              <c16:uniqueId val="{0000000A-3300-411B-8E01-3AAD8CA40CF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dashboard.xlsx]Sheet3!PivotTable24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a:t>
            </a:r>
            <a:r>
              <a:rPr lang="en-US" b="1" baseline="0"/>
              <a:t> type by Customer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Sheet3!$S$7:$S$8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Sheet3!$R$9:$R$11</c:f>
              <c:strCache>
                <c:ptCount val="2"/>
                <c:pt idx="0">
                  <c:v>Premium</c:v>
                </c:pt>
                <c:pt idx="1">
                  <c:v>Standard</c:v>
                </c:pt>
              </c:strCache>
            </c:strRef>
          </c:cat>
          <c:val>
            <c:numRef>
              <c:f>Sheet3!$S$9:$S$11</c:f>
              <c:numCache>
                <c:formatCode>General</c:formatCode>
                <c:ptCount val="2"/>
                <c:pt idx="0">
                  <c:v>242</c:v>
                </c:pt>
                <c:pt idx="1">
                  <c:v>261</c:v>
                </c:pt>
              </c:numCache>
            </c:numRef>
          </c:val>
          <c:extLst>
            <c:ext xmlns:c16="http://schemas.microsoft.com/office/drawing/2014/chart" uri="{C3380CC4-5D6E-409C-BE32-E72D297353CC}">
              <c16:uniqueId val="{00000000-E08F-45A3-B143-B5F95EB52D70}"/>
            </c:ext>
          </c:extLst>
        </c:ser>
        <c:ser>
          <c:idx val="1"/>
          <c:order val="1"/>
          <c:tx>
            <c:strRef>
              <c:f>Sheet3!$T$7:$T$8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Sheet3!$R$9:$R$11</c:f>
              <c:strCache>
                <c:ptCount val="2"/>
                <c:pt idx="0">
                  <c:v>Premium</c:v>
                </c:pt>
                <c:pt idx="1">
                  <c:v>Standard</c:v>
                </c:pt>
              </c:strCache>
            </c:strRef>
          </c:cat>
          <c:val>
            <c:numRef>
              <c:f>Sheet3!$T$9:$T$11</c:f>
              <c:numCache>
                <c:formatCode>General</c:formatCode>
                <c:ptCount val="2"/>
                <c:pt idx="0">
                  <c:v>251</c:v>
                </c:pt>
                <c:pt idx="1">
                  <c:v>246</c:v>
                </c:pt>
              </c:numCache>
            </c:numRef>
          </c:val>
          <c:extLst>
            <c:ext xmlns:c16="http://schemas.microsoft.com/office/drawing/2014/chart" uri="{C3380CC4-5D6E-409C-BE32-E72D297353CC}">
              <c16:uniqueId val="{00000001-ECE7-486E-82F5-BED4799E1EC2}"/>
            </c:ext>
          </c:extLst>
        </c:ser>
        <c:dLbls>
          <c:dLblPos val="ctr"/>
          <c:showLegendKey val="0"/>
          <c:showVal val="1"/>
          <c:showCatName val="0"/>
          <c:showSerName val="0"/>
          <c:showPercent val="0"/>
          <c:showBubbleSize val="0"/>
        </c:dLbls>
        <c:gapWidth val="150"/>
        <c:overlap val="100"/>
        <c:axId val="444978976"/>
        <c:axId val="2109664559"/>
      </c:barChart>
      <c:catAx>
        <c:axId val="44497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64559"/>
        <c:crosses val="autoZero"/>
        <c:auto val="1"/>
        <c:lblAlgn val="ctr"/>
        <c:lblOffset val="100"/>
        <c:noMultiLvlLbl val="0"/>
      </c:catAx>
      <c:valAx>
        <c:axId val="210966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7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visits by the days of the week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Sheet1!$A$12:$A$18</c:f>
              <c:strCache>
                <c:ptCount val="7"/>
                <c:pt idx="0">
                  <c:v>Mon</c:v>
                </c:pt>
                <c:pt idx="1">
                  <c:v>Tue</c:v>
                </c:pt>
                <c:pt idx="2">
                  <c:v>Wed</c:v>
                </c:pt>
                <c:pt idx="3">
                  <c:v>Thu</c:v>
                </c:pt>
                <c:pt idx="4">
                  <c:v>Fri</c:v>
                </c:pt>
                <c:pt idx="5">
                  <c:v>Sat</c:v>
                </c:pt>
                <c:pt idx="6">
                  <c:v>Sun</c:v>
                </c:pt>
              </c:strCache>
            </c:strRef>
          </c:cat>
          <c:val>
            <c:numRef>
              <c:f>Sheet1!$B$12:$B$18</c:f>
              <c:numCache>
                <c:formatCode>General</c:formatCode>
                <c:ptCount val="7"/>
                <c:pt idx="0">
                  <c:v>349</c:v>
                </c:pt>
                <c:pt idx="1">
                  <c:v>391</c:v>
                </c:pt>
                <c:pt idx="2">
                  <c:v>400</c:v>
                </c:pt>
                <c:pt idx="3">
                  <c:v>379</c:v>
                </c:pt>
                <c:pt idx="4">
                  <c:v>376</c:v>
                </c:pt>
                <c:pt idx="5">
                  <c:v>380</c:v>
                </c:pt>
                <c:pt idx="6">
                  <c:v>407</c:v>
                </c:pt>
              </c:numCache>
            </c:numRef>
          </c:val>
          <c:extLst>
            <c:ext xmlns:c16="http://schemas.microsoft.com/office/drawing/2014/chart" uri="{C3380CC4-5D6E-409C-BE32-E72D297353CC}">
              <c16:uniqueId val="{00000000-04B8-44F4-A21E-77BE85A87198}"/>
            </c:ext>
          </c:extLst>
        </c:ser>
        <c:dLbls>
          <c:dLblPos val="outEnd"/>
          <c:showLegendKey val="0"/>
          <c:showVal val="1"/>
          <c:showCatName val="0"/>
          <c:showSerName val="0"/>
          <c:showPercent val="0"/>
          <c:showBubbleSize val="0"/>
        </c:dLbls>
        <c:gapWidth val="219"/>
        <c:overlap val="-27"/>
        <c:axId val="1193119615"/>
        <c:axId val="1266555535"/>
      </c:barChart>
      <c:catAx>
        <c:axId val="1193119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55535"/>
        <c:crosses val="autoZero"/>
        <c:auto val="1"/>
        <c:lblAlgn val="ctr"/>
        <c:lblOffset val="100"/>
        <c:noMultiLvlLbl val="0"/>
      </c:catAx>
      <c:valAx>
        <c:axId val="1266555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19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a:t>
            </a:r>
            <a:r>
              <a:rPr lang="en-US" b="1" baseline="0"/>
              <a:t> lessons by group lessons type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Sheet1!$B$28</c:f>
              <c:strCache>
                <c:ptCount val="1"/>
                <c:pt idx="0">
                  <c:v>Number of lessons</c:v>
                </c:pt>
              </c:strCache>
            </c:strRef>
          </c:tx>
          <c:spPr>
            <a:solidFill>
              <a:schemeClr val="accent1"/>
            </a:solidFill>
            <a:ln>
              <a:noFill/>
            </a:ln>
            <a:effectLst/>
          </c:spPr>
          <c:invertIfNegative val="0"/>
          <c:cat>
            <c:strRef>
              <c:f>Sheet1!$A$29:$A$39</c:f>
              <c:strCache>
                <c:ptCount val="11"/>
                <c:pt idx="0">
                  <c:v>Kickboxen</c:v>
                </c:pt>
                <c:pt idx="1">
                  <c:v>XCore</c:v>
                </c:pt>
                <c:pt idx="2">
                  <c:v>Running</c:v>
                </c:pt>
                <c:pt idx="3">
                  <c:v>LesMiles</c:v>
                </c:pt>
                <c:pt idx="4">
                  <c:v>Yoga</c:v>
                </c:pt>
                <c:pt idx="5">
                  <c:v>BodyPump</c:v>
                </c:pt>
                <c:pt idx="6">
                  <c:v>Pilates</c:v>
                </c:pt>
                <c:pt idx="7">
                  <c:v>Spinning</c:v>
                </c:pt>
                <c:pt idx="8">
                  <c:v>HIT</c:v>
                </c:pt>
                <c:pt idx="9">
                  <c:v>BodyBalance</c:v>
                </c:pt>
                <c:pt idx="10">
                  <c:v>Zumba</c:v>
                </c:pt>
              </c:strCache>
            </c:strRef>
          </c:cat>
          <c:val>
            <c:numRef>
              <c:f>Sheet1!$B$29:$B$39</c:f>
              <c:numCache>
                <c:formatCode>General</c:formatCode>
                <c:ptCount val="11"/>
                <c:pt idx="0">
                  <c:v>85</c:v>
                </c:pt>
                <c:pt idx="1">
                  <c:v>90</c:v>
                </c:pt>
                <c:pt idx="2">
                  <c:v>82</c:v>
                </c:pt>
                <c:pt idx="3">
                  <c:v>99</c:v>
                </c:pt>
                <c:pt idx="4">
                  <c:v>90</c:v>
                </c:pt>
                <c:pt idx="5">
                  <c:v>112</c:v>
                </c:pt>
                <c:pt idx="6">
                  <c:v>95</c:v>
                </c:pt>
                <c:pt idx="7">
                  <c:v>85</c:v>
                </c:pt>
                <c:pt idx="8">
                  <c:v>97</c:v>
                </c:pt>
                <c:pt idx="9">
                  <c:v>87</c:v>
                </c:pt>
                <c:pt idx="10">
                  <c:v>81</c:v>
                </c:pt>
              </c:numCache>
            </c:numRef>
          </c:val>
          <c:extLst>
            <c:ext xmlns:c16="http://schemas.microsoft.com/office/drawing/2014/chart" uri="{C3380CC4-5D6E-409C-BE32-E72D297353CC}">
              <c16:uniqueId val="{00000000-0353-4645-9F21-A675EDCD8A91}"/>
            </c:ext>
          </c:extLst>
        </c:ser>
        <c:dLbls>
          <c:showLegendKey val="0"/>
          <c:showVal val="0"/>
          <c:showCatName val="0"/>
          <c:showSerName val="0"/>
          <c:showPercent val="0"/>
          <c:showBubbleSize val="0"/>
        </c:dLbls>
        <c:gapWidth val="219"/>
        <c:overlap val="-27"/>
        <c:axId val="63960591"/>
        <c:axId val="1928830031"/>
      </c:barChart>
      <c:catAx>
        <c:axId val="6396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30031"/>
        <c:crosses val="autoZero"/>
        <c:auto val="1"/>
        <c:lblAlgn val="ctr"/>
        <c:lblOffset val="100"/>
        <c:noMultiLvlLbl val="0"/>
      </c:catAx>
      <c:valAx>
        <c:axId val="192883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0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Favorite</a:t>
            </a:r>
            <a:r>
              <a:rPr lang="en-US" b="1" baseline="0"/>
              <a:t> drinks by Customers</a:t>
            </a:r>
            <a:endParaRPr lang="en-US" b="1"/>
          </a:p>
        </c:rich>
      </c:tx>
      <c:layout>
        <c:manualLayout>
          <c:xMode val="edge"/>
          <c:yMode val="edge"/>
          <c:x val="0.26437853107344633"/>
          <c:y val="3.03605252609929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Sheet2!$A$7</c:f>
              <c:strCache>
                <c:ptCount val="1"/>
                <c:pt idx="0">
                  <c:v>berry_boost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f>
              <c:strCache>
                <c:ptCount val="1"/>
                <c:pt idx="0">
                  <c:v>No of customers</c:v>
                </c:pt>
              </c:strCache>
            </c:strRef>
          </c:cat>
          <c:val>
            <c:numRef>
              <c:f>Sheet2!$B$7</c:f>
              <c:numCache>
                <c:formatCode>General</c:formatCode>
                <c:ptCount val="1"/>
                <c:pt idx="0">
                  <c:v>114</c:v>
                </c:pt>
              </c:numCache>
            </c:numRef>
          </c:val>
          <c:extLst>
            <c:ext xmlns:c16="http://schemas.microsoft.com/office/drawing/2014/chart" uri="{C3380CC4-5D6E-409C-BE32-E72D297353CC}">
              <c16:uniqueId val="{00000000-5681-41E9-A316-38B9903BF940}"/>
            </c:ext>
          </c:extLst>
        </c:ser>
        <c:ser>
          <c:idx val="1"/>
          <c:order val="1"/>
          <c:tx>
            <c:strRef>
              <c:f>Sheet2!$A$8</c:f>
              <c:strCache>
                <c:ptCount val="1"/>
                <c:pt idx="0">
                  <c:v>passion_fruit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f>
              <c:strCache>
                <c:ptCount val="1"/>
                <c:pt idx="0">
                  <c:v>No of customers</c:v>
                </c:pt>
              </c:strCache>
            </c:strRef>
          </c:cat>
          <c:val>
            <c:numRef>
              <c:f>Sheet2!$B$8</c:f>
              <c:numCache>
                <c:formatCode>General</c:formatCode>
                <c:ptCount val="1"/>
                <c:pt idx="0">
                  <c:v>119</c:v>
                </c:pt>
              </c:numCache>
            </c:numRef>
          </c:val>
          <c:extLst>
            <c:ext xmlns:c16="http://schemas.microsoft.com/office/drawing/2014/chart" uri="{C3380CC4-5D6E-409C-BE32-E72D297353CC}">
              <c16:uniqueId val="{00000001-5681-41E9-A316-38B9903BF940}"/>
            </c:ext>
          </c:extLst>
        </c:ser>
        <c:ser>
          <c:idx val="2"/>
          <c:order val="2"/>
          <c:tx>
            <c:strRef>
              <c:f>Sheet2!$A$9</c:f>
              <c:strCache>
                <c:ptCount val="1"/>
                <c:pt idx="0">
                  <c:v>coconut_pineapple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f>
              <c:strCache>
                <c:ptCount val="1"/>
                <c:pt idx="0">
                  <c:v>No of customers</c:v>
                </c:pt>
              </c:strCache>
            </c:strRef>
          </c:cat>
          <c:val>
            <c:numRef>
              <c:f>Sheet2!$B$9</c:f>
              <c:numCache>
                <c:formatCode>General</c:formatCode>
                <c:ptCount val="1"/>
                <c:pt idx="0">
                  <c:v>134</c:v>
                </c:pt>
              </c:numCache>
            </c:numRef>
          </c:val>
          <c:extLst>
            <c:ext xmlns:c16="http://schemas.microsoft.com/office/drawing/2014/chart" uri="{C3380CC4-5D6E-409C-BE32-E72D297353CC}">
              <c16:uniqueId val="{00000002-5681-41E9-A316-38B9903BF940}"/>
            </c:ext>
          </c:extLst>
        </c:ser>
        <c:ser>
          <c:idx val="3"/>
          <c:order val="3"/>
          <c:tx>
            <c:strRef>
              <c:f>Sheet2!$A$10</c:f>
              <c:strCache>
                <c:ptCount val="1"/>
                <c:pt idx="0">
                  <c:v>orange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f>
              <c:strCache>
                <c:ptCount val="1"/>
                <c:pt idx="0">
                  <c:v>No of customers</c:v>
                </c:pt>
              </c:strCache>
            </c:strRef>
          </c:cat>
          <c:val>
            <c:numRef>
              <c:f>Sheet2!$B$10</c:f>
              <c:numCache>
                <c:formatCode>General</c:formatCode>
                <c:ptCount val="1"/>
                <c:pt idx="0">
                  <c:v>126</c:v>
                </c:pt>
              </c:numCache>
            </c:numRef>
          </c:val>
          <c:extLst>
            <c:ext xmlns:c16="http://schemas.microsoft.com/office/drawing/2014/chart" uri="{C3380CC4-5D6E-409C-BE32-E72D297353CC}">
              <c16:uniqueId val="{00000003-5681-41E9-A316-38B9903BF940}"/>
            </c:ext>
          </c:extLst>
        </c:ser>
        <c:ser>
          <c:idx val="4"/>
          <c:order val="4"/>
          <c:tx>
            <c:strRef>
              <c:f>Sheet2!$A$11</c:f>
              <c:strCache>
                <c:ptCount val="1"/>
                <c:pt idx="0">
                  <c:v>black_currant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f>
              <c:strCache>
                <c:ptCount val="1"/>
                <c:pt idx="0">
                  <c:v>No of customers</c:v>
                </c:pt>
              </c:strCache>
            </c:strRef>
          </c:cat>
          <c:val>
            <c:numRef>
              <c:f>Sheet2!$B$11</c:f>
              <c:numCache>
                <c:formatCode>General</c:formatCode>
                <c:ptCount val="1"/>
                <c:pt idx="0">
                  <c:v>111</c:v>
                </c:pt>
              </c:numCache>
            </c:numRef>
          </c:val>
          <c:extLst>
            <c:ext xmlns:c16="http://schemas.microsoft.com/office/drawing/2014/chart" uri="{C3380CC4-5D6E-409C-BE32-E72D297353CC}">
              <c16:uniqueId val="{00000004-5681-41E9-A316-38B9903BF940}"/>
            </c:ext>
          </c:extLst>
        </c:ser>
        <c:ser>
          <c:idx val="5"/>
          <c:order val="5"/>
          <c:tx>
            <c:strRef>
              <c:f>Sheet2!$A$12</c:f>
              <c:strCache>
                <c:ptCount val="1"/>
                <c:pt idx="0">
                  <c:v>lemon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f>
              <c:strCache>
                <c:ptCount val="1"/>
                <c:pt idx="0">
                  <c:v>No of customers</c:v>
                </c:pt>
              </c:strCache>
            </c:strRef>
          </c:cat>
          <c:val>
            <c:numRef>
              <c:f>Sheet2!$B$12</c:f>
              <c:numCache>
                <c:formatCode>General</c:formatCode>
                <c:ptCount val="1"/>
                <c:pt idx="0">
                  <c:v>115</c:v>
                </c:pt>
              </c:numCache>
            </c:numRef>
          </c:val>
          <c:extLst>
            <c:ext xmlns:c16="http://schemas.microsoft.com/office/drawing/2014/chart" uri="{C3380CC4-5D6E-409C-BE32-E72D297353CC}">
              <c16:uniqueId val="{00000005-5681-41E9-A316-38B9903BF940}"/>
            </c:ext>
          </c:extLst>
        </c:ser>
        <c:dLbls>
          <c:dLblPos val="outEnd"/>
          <c:showLegendKey val="0"/>
          <c:showVal val="1"/>
          <c:showCatName val="0"/>
          <c:showSerName val="0"/>
          <c:showPercent val="0"/>
          <c:showBubbleSize val="0"/>
        </c:dLbls>
        <c:gapWidth val="219"/>
        <c:overlap val="-27"/>
        <c:axId val="112763840"/>
        <c:axId val="1725815823"/>
      </c:barChart>
      <c:catAx>
        <c:axId val="11276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815823"/>
        <c:crosses val="autoZero"/>
        <c:auto val="1"/>
        <c:lblAlgn val="ctr"/>
        <c:lblOffset val="100"/>
        <c:noMultiLvlLbl val="0"/>
      </c:catAx>
      <c:valAx>
        <c:axId val="1725815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dashboard.xlsx]Sheet2!PivotTable18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Sheet2!$B$32</c:f>
              <c:strCache>
                <c:ptCount val="1"/>
                <c:pt idx="0">
                  <c:v>Total</c:v>
                </c:pt>
              </c:strCache>
            </c:strRef>
          </c:tx>
          <c:spPr>
            <a:solidFill>
              <a:schemeClr val="accent1"/>
            </a:solidFill>
            <a:ln>
              <a:noFill/>
            </a:ln>
            <a:effectLst/>
          </c:spPr>
          <c:invertIfNegative val="0"/>
          <c:cat>
            <c:strRef>
              <c:f>Sheet2!$A$33:$A$72</c:f>
              <c:strCache>
                <c:ptCount val="39"/>
                <c:pt idx="0">
                  <c:v>13.00</c:v>
                </c:pt>
                <c:pt idx="1">
                  <c:v>14.00</c:v>
                </c:pt>
                <c:pt idx="2">
                  <c:v>15.00</c:v>
                </c:pt>
                <c:pt idx="3">
                  <c:v>16.00</c:v>
                </c:pt>
                <c:pt idx="4">
                  <c:v>17.00</c:v>
                </c:pt>
                <c:pt idx="5">
                  <c:v>18.00</c:v>
                </c:pt>
                <c:pt idx="6">
                  <c:v>19.00</c:v>
                </c:pt>
                <c:pt idx="7">
                  <c:v>20.00</c:v>
                </c:pt>
                <c:pt idx="8">
                  <c:v>21.00</c:v>
                </c:pt>
                <c:pt idx="9">
                  <c:v>22.00</c:v>
                </c:pt>
                <c:pt idx="10">
                  <c:v>23.00</c:v>
                </c:pt>
                <c:pt idx="11">
                  <c:v>24.00</c:v>
                </c:pt>
                <c:pt idx="12">
                  <c:v>25.00</c:v>
                </c:pt>
                <c:pt idx="13">
                  <c:v>26.00</c:v>
                </c:pt>
                <c:pt idx="14">
                  <c:v>27.00</c:v>
                </c:pt>
                <c:pt idx="15">
                  <c:v>28.00</c:v>
                </c:pt>
                <c:pt idx="16">
                  <c:v>29.00</c:v>
                </c:pt>
                <c:pt idx="17">
                  <c:v>30.00</c:v>
                </c:pt>
                <c:pt idx="18">
                  <c:v>31.00</c:v>
                </c:pt>
                <c:pt idx="19">
                  <c:v>32.00</c:v>
                </c:pt>
                <c:pt idx="20">
                  <c:v>33.00</c:v>
                </c:pt>
                <c:pt idx="21">
                  <c:v>34.00</c:v>
                </c:pt>
                <c:pt idx="22">
                  <c:v>35.00</c:v>
                </c:pt>
                <c:pt idx="23">
                  <c:v>36.00</c:v>
                </c:pt>
                <c:pt idx="24">
                  <c:v>37.00</c:v>
                </c:pt>
                <c:pt idx="25">
                  <c:v>38.00</c:v>
                </c:pt>
                <c:pt idx="26">
                  <c:v>39.00</c:v>
                </c:pt>
                <c:pt idx="27">
                  <c:v>40.00</c:v>
                </c:pt>
                <c:pt idx="28">
                  <c:v>41.00</c:v>
                </c:pt>
                <c:pt idx="29">
                  <c:v>42.00</c:v>
                </c:pt>
                <c:pt idx="30">
                  <c:v>43.00</c:v>
                </c:pt>
                <c:pt idx="31">
                  <c:v>44.00</c:v>
                </c:pt>
                <c:pt idx="32">
                  <c:v>45.00</c:v>
                </c:pt>
                <c:pt idx="33">
                  <c:v>46.00</c:v>
                </c:pt>
                <c:pt idx="34">
                  <c:v>47.00</c:v>
                </c:pt>
                <c:pt idx="35">
                  <c:v>48.00</c:v>
                </c:pt>
                <c:pt idx="36">
                  <c:v>49.00</c:v>
                </c:pt>
                <c:pt idx="37">
                  <c:v>50.00</c:v>
                </c:pt>
                <c:pt idx="38">
                  <c:v>51.00</c:v>
                </c:pt>
              </c:strCache>
            </c:strRef>
          </c:cat>
          <c:val>
            <c:numRef>
              <c:f>Sheet2!$B$33:$B$72</c:f>
              <c:numCache>
                <c:formatCode>General</c:formatCode>
                <c:ptCount val="39"/>
                <c:pt idx="0">
                  <c:v>5</c:v>
                </c:pt>
                <c:pt idx="1">
                  <c:v>16</c:v>
                </c:pt>
                <c:pt idx="2">
                  <c:v>26</c:v>
                </c:pt>
                <c:pt idx="3">
                  <c:v>30</c:v>
                </c:pt>
                <c:pt idx="4">
                  <c:v>21</c:v>
                </c:pt>
                <c:pt idx="5">
                  <c:v>23</c:v>
                </c:pt>
                <c:pt idx="6">
                  <c:v>26</c:v>
                </c:pt>
                <c:pt idx="7">
                  <c:v>31</c:v>
                </c:pt>
                <c:pt idx="8">
                  <c:v>27</c:v>
                </c:pt>
                <c:pt idx="9">
                  <c:v>25</c:v>
                </c:pt>
                <c:pt idx="10">
                  <c:v>25</c:v>
                </c:pt>
                <c:pt idx="11">
                  <c:v>25</c:v>
                </c:pt>
                <c:pt idx="12">
                  <c:v>32</c:v>
                </c:pt>
                <c:pt idx="13">
                  <c:v>29</c:v>
                </c:pt>
                <c:pt idx="14">
                  <c:v>22</c:v>
                </c:pt>
                <c:pt idx="15">
                  <c:v>38</c:v>
                </c:pt>
                <c:pt idx="16">
                  <c:v>26</c:v>
                </c:pt>
                <c:pt idx="17">
                  <c:v>22</c:v>
                </c:pt>
                <c:pt idx="18">
                  <c:v>35</c:v>
                </c:pt>
                <c:pt idx="19">
                  <c:v>24</c:v>
                </c:pt>
                <c:pt idx="20">
                  <c:v>22</c:v>
                </c:pt>
                <c:pt idx="21">
                  <c:v>20</c:v>
                </c:pt>
                <c:pt idx="22">
                  <c:v>27</c:v>
                </c:pt>
                <c:pt idx="23">
                  <c:v>26</c:v>
                </c:pt>
                <c:pt idx="24">
                  <c:v>29</c:v>
                </c:pt>
                <c:pt idx="25">
                  <c:v>40</c:v>
                </c:pt>
                <c:pt idx="26">
                  <c:v>24</c:v>
                </c:pt>
                <c:pt idx="27">
                  <c:v>17</c:v>
                </c:pt>
                <c:pt idx="28">
                  <c:v>36</c:v>
                </c:pt>
                <c:pt idx="29">
                  <c:v>26</c:v>
                </c:pt>
                <c:pt idx="30">
                  <c:v>24</c:v>
                </c:pt>
                <c:pt idx="31">
                  <c:v>20</c:v>
                </c:pt>
                <c:pt idx="32">
                  <c:v>29</c:v>
                </c:pt>
                <c:pt idx="33">
                  <c:v>22</c:v>
                </c:pt>
                <c:pt idx="34">
                  <c:v>30</c:v>
                </c:pt>
                <c:pt idx="35">
                  <c:v>19</c:v>
                </c:pt>
                <c:pt idx="36">
                  <c:v>31</c:v>
                </c:pt>
                <c:pt idx="37">
                  <c:v>24</c:v>
                </c:pt>
                <c:pt idx="38">
                  <c:v>26</c:v>
                </c:pt>
              </c:numCache>
            </c:numRef>
          </c:val>
          <c:extLst>
            <c:ext xmlns:c16="http://schemas.microsoft.com/office/drawing/2014/chart" uri="{C3380CC4-5D6E-409C-BE32-E72D297353CC}">
              <c16:uniqueId val="{00000000-E7AA-4D42-A781-0E195908830D}"/>
            </c:ext>
          </c:extLst>
        </c:ser>
        <c:dLbls>
          <c:showLegendKey val="0"/>
          <c:showVal val="0"/>
          <c:showCatName val="0"/>
          <c:showSerName val="0"/>
          <c:showPercent val="0"/>
          <c:showBubbleSize val="0"/>
        </c:dLbls>
        <c:gapWidth val="219"/>
        <c:overlap val="-27"/>
        <c:axId val="112757344"/>
        <c:axId val="2109642479"/>
      </c:barChart>
      <c:catAx>
        <c:axId val="112757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42479"/>
        <c:crosses val="autoZero"/>
        <c:auto val="1"/>
        <c:lblAlgn val="ctr"/>
        <c:lblOffset val="100"/>
        <c:noMultiLvlLbl val="0"/>
      </c:catAx>
      <c:valAx>
        <c:axId val="2109642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dashboard.xlsx]Sheet2!PivotTable17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Customer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2B-4D6B-BC68-7D9304BFD4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2B-4D6B-BC68-7D9304BFD4F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Sheet2!$A$21:$A$23</c:f>
              <c:strCache>
                <c:ptCount val="2"/>
                <c:pt idx="0">
                  <c:v>Female</c:v>
                </c:pt>
                <c:pt idx="1">
                  <c:v>Male</c:v>
                </c:pt>
              </c:strCache>
            </c:strRef>
          </c:cat>
          <c:val>
            <c:numRef>
              <c:f>Sheet2!$B$21:$B$23</c:f>
              <c:numCache>
                <c:formatCode>General</c:formatCode>
                <c:ptCount val="2"/>
                <c:pt idx="0">
                  <c:v>503</c:v>
                </c:pt>
                <c:pt idx="1">
                  <c:v>497</c:v>
                </c:pt>
              </c:numCache>
            </c:numRef>
          </c:val>
          <c:extLst>
            <c:ext xmlns:c16="http://schemas.microsoft.com/office/drawing/2014/chart" uri="{C3380CC4-5D6E-409C-BE32-E72D297353CC}">
              <c16:uniqueId val="{00000000-A3B8-4ADF-9B42-B017D9A0C6A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dashboard.xlsx]Sheet3!PivotTable19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visits by customer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Sheet3!$B$4:$B$5</c:f>
              <c:strCache>
                <c:ptCount val="1"/>
                <c:pt idx="0">
                  <c:v>1</c:v>
                </c:pt>
              </c:strCache>
            </c:strRef>
          </c:tx>
          <c:spPr>
            <a:solidFill>
              <a:schemeClr val="accent1"/>
            </a:solidFill>
            <a:ln>
              <a:noFill/>
            </a:ln>
            <a:effectLst/>
          </c:spPr>
          <c:invertIfNegative val="0"/>
          <c:cat>
            <c:strRef>
              <c:f>Sheet3!$A$6:$A$8</c:f>
              <c:strCache>
                <c:ptCount val="2"/>
                <c:pt idx="0">
                  <c:v>Female</c:v>
                </c:pt>
                <c:pt idx="1">
                  <c:v>Male</c:v>
                </c:pt>
              </c:strCache>
            </c:strRef>
          </c:cat>
          <c:val>
            <c:numRef>
              <c:f>Sheet3!$B$6:$B$8</c:f>
              <c:numCache>
                <c:formatCode>General</c:formatCode>
                <c:ptCount val="2"/>
                <c:pt idx="0">
                  <c:v>98</c:v>
                </c:pt>
                <c:pt idx="1">
                  <c:v>96</c:v>
                </c:pt>
              </c:numCache>
            </c:numRef>
          </c:val>
          <c:extLst>
            <c:ext xmlns:c16="http://schemas.microsoft.com/office/drawing/2014/chart" uri="{C3380CC4-5D6E-409C-BE32-E72D297353CC}">
              <c16:uniqueId val="{00000000-E06C-4466-860A-003FA0BC9A7A}"/>
            </c:ext>
          </c:extLst>
        </c:ser>
        <c:ser>
          <c:idx val="1"/>
          <c:order val="1"/>
          <c:tx>
            <c:strRef>
              <c:f>Sheet3!$C$4:$C$5</c:f>
              <c:strCache>
                <c:ptCount val="1"/>
                <c:pt idx="0">
                  <c:v>2</c:v>
                </c:pt>
              </c:strCache>
            </c:strRef>
          </c:tx>
          <c:spPr>
            <a:solidFill>
              <a:schemeClr val="accent2"/>
            </a:solidFill>
            <a:ln>
              <a:noFill/>
            </a:ln>
            <a:effectLst/>
          </c:spPr>
          <c:invertIfNegative val="0"/>
          <c:cat>
            <c:strRef>
              <c:f>Sheet3!$A$6:$A$8</c:f>
              <c:strCache>
                <c:ptCount val="2"/>
                <c:pt idx="0">
                  <c:v>Female</c:v>
                </c:pt>
                <c:pt idx="1">
                  <c:v>Male</c:v>
                </c:pt>
              </c:strCache>
            </c:strRef>
          </c:cat>
          <c:val>
            <c:numRef>
              <c:f>Sheet3!$C$6:$C$8</c:f>
              <c:numCache>
                <c:formatCode>General</c:formatCode>
                <c:ptCount val="2"/>
                <c:pt idx="0">
                  <c:v>132</c:v>
                </c:pt>
                <c:pt idx="1">
                  <c:v>142</c:v>
                </c:pt>
              </c:numCache>
            </c:numRef>
          </c:val>
          <c:extLst>
            <c:ext xmlns:c16="http://schemas.microsoft.com/office/drawing/2014/chart" uri="{C3380CC4-5D6E-409C-BE32-E72D297353CC}">
              <c16:uniqueId val="{00000001-E06C-4466-860A-003FA0BC9A7A}"/>
            </c:ext>
          </c:extLst>
        </c:ser>
        <c:ser>
          <c:idx val="2"/>
          <c:order val="2"/>
          <c:tx>
            <c:strRef>
              <c:f>Sheet3!$D$4:$D$5</c:f>
              <c:strCache>
                <c:ptCount val="1"/>
                <c:pt idx="0">
                  <c:v>3</c:v>
                </c:pt>
              </c:strCache>
            </c:strRef>
          </c:tx>
          <c:spPr>
            <a:solidFill>
              <a:schemeClr val="accent3"/>
            </a:solidFill>
            <a:ln>
              <a:noFill/>
            </a:ln>
            <a:effectLst/>
          </c:spPr>
          <c:invertIfNegative val="0"/>
          <c:cat>
            <c:strRef>
              <c:f>Sheet3!$A$6:$A$8</c:f>
              <c:strCache>
                <c:ptCount val="2"/>
                <c:pt idx="0">
                  <c:v>Female</c:v>
                </c:pt>
                <c:pt idx="1">
                  <c:v>Male</c:v>
                </c:pt>
              </c:strCache>
            </c:strRef>
          </c:cat>
          <c:val>
            <c:numRef>
              <c:f>Sheet3!$D$6:$D$8</c:f>
              <c:numCache>
                <c:formatCode>General</c:formatCode>
                <c:ptCount val="2"/>
                <c:pt idx="0">
                  <c:v>152</c:v>
                </c:pt>
                <c:pt idx="1">
                  <c:v>160</c:v>
                </c:pt>
              </c:numCache>
            </c:numRef>
          </c:val>
          <c:extLst>
            <c:ext xmlns:c16="http://schemas.microsoft.com/office/drawing/2014/chart" uri="{C3380CC4-5D6E-409C-BE32-E72D297353CC}">
              <c16:uniqueId val="{00000002-E06C-4466-860A-003FA0BC9A7A}"/>
            </c:ext>
          </c:extLst>
        </c:ser>
        <c:ser>
          <c:idx val="3"/>
          <c:order val="3"/>
          <c:tx>
            <c:strRef>
              <c:f>Sheet3!$E$4:$E$5</c:f>
              <c:strCache>
                <c:ptCount val="1"/>
                <c:pt idx="0">
                  <c:v>4</c:v>
                </c:pt>
              </c:strCache>
            </c:strRef>
          </c:tx>
          <c:spPr>
            <a:solidFill>
              <a:schemeClr val="accent4"/>
            </a:solidFill>
            <a:ln>
              <a:noFill/>
            </a:ln>
            <a:effectLst/>
          </c:spPr>
          <c:invertIfNegative val="0"/>
          <c:cat>
            <c:strRef>
              <c:f>Sheet3!$A$6:$A$8</c:f>
              <c:strCache>
                <c:ptCount val="2"/>
                <c:pt idx="0">
                  <c:v>Female</c:v>
                </c:pt>
                <c:pt idx="1">
                  <c:v>Male</c:v>
                </c:pt>
              </c:strCache>
            </c:strRef>
          </c:cat>
          <c:val>
            <c:numRef>
              <c:f>Sheet3!$E$6:$E$8</c:f>
              <c:numCache>
                <c:formatCode>General</c:formatCode>
                <c:ptCount val="2"/>
                <c:pt idx="0">
                  <c:v>56</c:v>
                </c:pt>
                <c:pt idx="1">
                  <c:v>40</c:v>
                </c:pt>
              </c:numCache>
            </c:numRef>
          </c:val>
          <c:extLst>
            <c:ext xmlns:c16="http://schemas.microsoft.com/office/drawing/2014/chart" uri="{C3380CC4-5D6E-409C-BE32-E72D297353CC}">
              <c16:uniqueId val="{00000001-654F-48D2-A68B-31F8FBA64834}"/>
            </c:ext>
          </c:extLst>
        </c:ser>
        <c:ser>
          <c:idx val="4"/>
          <c:order val="4"/>
          <c:tx>
            <c:strRef>
              <c:f>Sheet3!$F$4:$F$5</c:f>
              <c:strCache>
                <c:ptCount val="1"/>
                <c:pt idx="0">
                  <c:v>5</c:v>
                </c:pt>
              </c:strCache>
            </c:strRef>
          </c:tx>
          <c:spPr>
            <a:solidFill>
              <a:schemeClr val="accent5"/>
            </a:solidFill>
            <a:ln>
              <a:noFill/>
            </a:ln>
            <a:effectLst/>
          </c:spPr>
          <c:invertIfNegative val="0"/>
          <c:cat>
            <c:strRef>
              <c:f>Sheet3!$A$6:$A$8</c:f>
              <c:strCache>
                <c:ptCount val="2"/>
                <c:pt idx="0">
                  <c:v>Female</c:v>
                </c:pt>
                <c:pt idx="1">
                  <c:v>Male</c:v>
                </c:pt>
              </c:strCache>
            </c:strRef>
          </c:cat>
          <c:val>
            <c:numRef>
              <c:f>Sheet3!$F$6:$F$8</c:f>
              <c:numCache>
                <c:formatCode>General</c:formatCode>
                <c:ptCount val="2"/>
                <c:pt idx="0">
                  <c:v>65</c:v>
                </c:pt>
                <c:pt idx="1">
                  <c:v>59</c:v>
                </c:pt>
              </c:numCache>
            </c:numRef>
          </c:val>
          <c:extLst>
            <c:ext xmlns:c16="http://schemas.microsoft.com/office/drawing/2014/chart" uri="{C3380CC4-5D6E-409C-BE32-E72D297353CC}">
              <c16:uniqueId val="{00000002-654F-48D2-A68B-31F8FBA64834}"/>
            </c:ext>
          </c:extLst>
        </c:ser>
        <c:dLbls>
          <c:showLegendKey val="0"/>
          <c:showVal val="0"/>
          <c:showCatName val="0"/>
          <c:showSerName val="0"/>
          <c:showPercent val="0"/>
          <c:showBubbleSize val="0"/>
        </c:dLbls>
        <c:gapWidth val="219"/>
        <c:overlap val="-27"/>
        <c:axId val="112795856"/>
        <c:axId val="2109658799"/>
      </c:barChart>
      <c:catAx>
        <c:axId val="11279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58799"/>
        <c:crosses val="autoZero"/>
        <c:auto val="1"/>
        <c:lblAlgn val="ctr"/>
        <c:lblOffset val="100"/>
        <c:noMultiLvlLbl val="0"/>
      </c:catAx>
      <c:valAx>
        <c:axId val="210965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9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dashboard.xlsx]Sheet3!PivotTable20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Sauna</a:t>
            </a:r>
            <a:r>
              <a:rPr lang="en-US" b="1" baseline="0"/>
              <a:t> usage by Customer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Sheet3!$B$17:$B$18</c:f>
              <c:strCache>
                <c:ptCount val="1"/>
                <c:pt idx="0">
                  <c:v>FALSE</c:v>
                </c:pt>
              </c:strCache>
            </c:strRef>
          </c:tx>
          <c:spPr>
            <a:solidFill>
              <a:schemeClr val="accent1"/>
            </a:solidFill>
            <a:ln>
              <a:noFill/>
            </a:ln>
            <a:effectLst/>
          </c:spPr>
          <c:invertIfNegative val="0"/>
          <c:cat>
            <c:strRef>
              <c:f>Sheet3!$A$19:$A$21</c:f>
              <c:strCache>
                <c:ptCount val="2"/>
                <c:pt idx="0">
                  <c:v>Female</c:v>
                </c:pt>
                <c:pt idx="1">
                  <c:v>Male</c:v>
                </c:pt>
              </c:strCache>
            </c:strRef>
          </c:cat>
          <c:val>
            <c:numRef>
              <c:f>Sheet3!$B$19:$B$21</c:f>
              <c:numCache>
                <c:formatCode>General</c:formatCode>
                <c:ptCount val="2"/>
                <c:pt idx="0">
                  <c:v>262</c:v>
                </c:pt>
                <c:pt idx="1">
                  <c:v>245</c:v>
                </c:pt>
              </c:numCache>
            </c:numRef>
          </c:val>
          <c:extLst>
            <c:ext xmlns:c16="http://schemas.microsoft.com/office/drawing/2014/chart" uri="{C3380CC4-5D6E-409C-BE32-E72D297353CC}">
              <c16:uniqueId val="{00000000-9747-4A93-B2B2-68816304D8BA}"/>
            </c:ext>
          </c:extLst>
        </c:ser>
        <c:ser>
          <c:idx val="1"/>
          <c:order val="1"/>
          <c:tx>
            <c:strRef>
              <c:f>Sheet3!$C$17:$C$18</c:f>
              <c:strCache>
                <c:ptCount val="1"/>
                <c:pt idx="0">
                  <c:v>TRUE</c:v>
                </c:pt>
              </c:strCache>
            </c:strRef>
          </c:tx>
          <c:spPr>
            <a:solidFill>
              <a:schemeClr val="accent2"/>
            </a:solidFill>
            <a:ln>
              <a:noFill/>
            </a:ln>
            <a:effectLst/>
          </c:spPr>
          <c:invertIfNegative val="0"/>
          <c:cat>
            <c:strRef>
              <c:f>Sheet3!$A$19:$A$21</c:f>
              <c:strCache>
                <c:ptCount val="2"/>
                <c:pt idx="0">
                  <c:v>Female</c:v>
                </c:pt>
                <c:pt idx="1">
                  <c:v>Male</c:v>
                </c:pt>
              </c:strCache>
            </c:strRef>
          </c:cat>
          <c:val>
            <c:numRef>
              <c:f>Sheet3!$C$19:$C$21</c:f>
              <c:numCache>
                <c:formatCode>General</c:formatCode>
                <c:ptCount val="2"/>
                <c:pt idx="0">
                  <c:v>241</c:v>
                </c:pt>
                <c:pt idx="1">
                  <c:v>252</c:v>
                </c:pt>
              </c:numCache>
            </c:numRef>
          </c:val>
          <c:extLst>
            <c:ext xmlns:c16="http://schemas.microsoft.com/office/drawing/2014/chart" uri="{C3380CC4-5D6E-409C-BE32-E72D297353CC}">
              <c16:uniqueId val="{00000003-9747-4A93-B2B2-68816304D8BA}"/>
            </c:ext>
          </c:extLst>
        </c:ser>
        <c:dLbls>
          <c:showLegendKey val="0"/>
          <c:showVal val="0"/>
          <c:showCatName val="0"/>
          <c:showSerName val="0"/>
          <c:showPercent val="0"/>
          <c:showBubbleSize val="0"/>
        </c:dLbls>
        <c:gapWidth val="219"/>
        <c:overlap val="-27"/>
        <c:axId val="228253008"/>
        <c:axId val="2109659759"/>
      </c:barChart>
      <c:catAx>
        <c:axId val="22825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59759"/>
        <c:crosses val="autoZero"/>
        <c:auto val="1"/>
        <c:lblAlgn val="ctr"/>
        <c:lblOffset val="100"/>
        <c:noMultiLvlLbl val="0"/>
      </c:catAx>
      <c:valAx>
        <c:axId val="210965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5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dashboard.xlsx]Sheet3!PivotTable24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a:t>
            </a:r>
            <a:r>
              <a:rPr lang="en-US" b="1" baseline="0"/>
              <a:t> type by Customer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Sheet3!$S$7:$S$8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Sheet3!$R$9:$R$11</c:f>
              <c:strCache>
                <c:ptCount val="2"/>
                <c:pt idx="0">
                  <c:v>Premium</c:v>
                </c:pt>
                <c:pt idx="1">
                  <c:v>Standard</c:v>
                </c:pt>
              </c:strCache>
            </c:strRef>
          </c:cat>
          <c:val>
            <c:numRef>
              <c:f>Sheet3!$S$9:$S$11</c:f>
              <c:numCache>
                <c:formatCode>General</c:formatCode>
                <c:ptCount val="2"/>
                <c:pt idx="0">
                  <c:v>242</c:v>
                </c:pt>
                <c:pt idx="1">
                  <c:v>261</c:v>
                </c:pt>
              </c:numCache>
            </c:numRef>
          </c:val>
          <c:extLst>
            <c:ext xmlns:c16="http://schemas.microsoft.com/office/drawing/2014/chart" uri="{C3380CC4-5D6E-409C-BE32-E72D297353CC}">
              <c16:uniqueId val="{00000000-3C98-42AA-ACF6-90AA801F17D6}"/>
            </c:ext>
          </c:extLst>
        </c:ser>
        <c:ser>
          <c:idx val="1"/>
          <c:order val="1"/>
          <c:tx>
            <c:strRef>
              <c:f>Sheet3!$T$7:$T$8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Sheet3!$R$9:$R$11</c:f>
              <c:strCache>
                <c:ptCount val="2"/>
                <c:pt idx="0">
                  <c:v>Premium</c:v>
                </c:pt>
                <c:pt idx="1">
                  <c:v>Standard</c:v>
                </c:pt>
              </c:strCache>
            </c:strRef>
          </c:cat>
          <c:val>
            <c:numRef>
              <c:f>Sheet3!$T$9:$T$11</c:f>
              <c:numCache>
                <c:formatCode>General</c:formatCode>
                <c:ptCount val="2"/>
                <c:pt idx="0">
                  <c:v>251</c:v>
                </c:pt>
                <c:pt idx="1">
                  <c:v>246</c:v>
                </c:pt>
              </c:numCache>
            </c:numRef>
          </c:val>
          <c:extLst>
            <c:ext xmlns:c16="http://schemas.microsoft.com/office/drawing/2014/chart" uri="{C3380CC4-5D6E-409C-BE32-E72D297353CC}">
              <c16:uniqueId val="{00000000-5AF4-4933-BC66-AFE83571FDC2}"/>
            </c:ext>
          </c:extLst>
        </c:ser>
        <c:dLbls>
          <c:dLblPos val="ctr"/>
          <c:showLegendKey val="0"/>
          <c:showVal val="1"/>
          <c:showCatName val="0"/>
          <c:showSerName val="0"/>
          <c:showPercent val="0"/>
          <c:showBubbleSize val="0"/>
        </c:dLbls>
        <c:gapWidth val="150"/>
        <c:overlap val="100"/>
        <c:axId val="444978976"/>
        <c:axId val="2109664559"/>
      </c:barChart>
      <c:catAx>
        <c:axId val="44497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64559"/>
        <c:crosses val="autoZero"/>
        <c:auto val="1"/>
        <c:lblAlgn val="ctr"/>
        <c:lblOffset val="100"/>
        <c:noMultiLvlLbl val="0"/>
      </c:catAx>
      <c:valAx>
        <c:axId val="210966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7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dashboard.xlsx]Sheet4!PivotTable21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customer by Average time in Gym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c:f>
              <c:strCache>
                <c:ptCount val="1"/>
                <c:pt idx="0">
                  <c:v>Total</c:v>
                </c:pt>
              </c:strCache>
            </c:strRef>
          </c:tx>
          <c:spPr>
            <a:solidFill>
              <a:schemeClr val="accent1"/>
            </a:solidFill>
            <a:ln>
              <a:noFill/>
            </a:ln>
            <a:effectLst/>
          </c:spPr>
          <c:invertIfNegative val="0"/>
          <c:cat>
            <c:strRef>
              <c:f>Sheet4!$A$5:$A$16</c:f>
              <c:strCache>
                <c:ptCount val="11"/>
                <c:pt idx="0">
                  <c:v>161</c:v>
                </c:pt>
                <c:pt idx="1">
                  <c:v>156</c:v>
                </c:pt>
                <c:pt idx="2">
                  <c:v>149</c:v>
                </c:pt>
                <c:pt idx="3">
                  <c:v>141</c:v>
                </c:pt>
                <c:pt idx="4">
                  <c:v>138</c:v>
                </c:pt>
                <c:pt idx="5">
                  <c:v>135</c:v>
                </c:pt>
                <c:pt idx="6">
                  <c:v>107</c:v>
                </c:pt>
                <c:pt idx="7">
                  <c:v>105</c:v>
                </c:pt>
                <c:pt idx="8">
                  <c:v>93</c:v>
                </c:pt>
                <c:pt idx="9">
                  <c:v>67</c:v>
                </c:pt>
                <c:pt idx="10">
                  <c:v>56</c:v>
                </c:pt>
              </c:strCache>
            </c:strRef>
          </c:cat>
          <c:val>
            <c:numRef>
              <c:f>Sheet4!$B$5:$B$16</c:f>
              <c:numCache>
                <c:formatCode>General</c:formatCode>
                <c:ptCount val="11"/>
                <c:pt idx="0">
                  <c:v>12</c:v>
                </c:pt>
                <c:pt idx="1">
                  <c:v>12</c:v>
                </c:pt>
                <c:pt idx="2">
                  <c:v>11</c:v>
                </c:pt>
                <c:pt idx="3">
                  <c:v>12</c:v>
                </c:pt>
                <c:pt idx="4">
                  <c:v>12</c:v>
                </c:pt>
                <c:pt idx="5">
                  <c:v>11</c:v>
                </c:pt>
                <c:pt idx="6">
                  <c:v>12</c:v>
                </c:pt>
                <c:pt idx="7">
                  <c:v>12</c:v>
                </c:pt>
                <c:pt idx="8">
                  <c:v>13</c:v>
                </c:pt>
                <c:pt idx="9">
                  <c:v>14</c:v>
                </c:pt>
                <c:pt idx="10">
                  <c:v>14</c:v>
                </c:pt>
              </c:numCache>
            </c:numRef>
          </c:val>
          <c:extLst>
            <c:ext xmlns:c16="http://schemas.microsoft.com/office/drawing/2014/chart" uri="{C3380CC4-5D6E-409C-BE32-E72D297353CC}">
              <c16:uniqueId val="{00000000-B221-4985-985E-770B86A70C04}"/>
            </c:ext>
          </c:extLst>
        </c:ser>
        <c:dLbls>
          <c:showLegendKey val="0"/>
          <c:showVal val="0"/>
          <c:showCatName val="0"/>
          <c:showSerName val="0"/>
          <c:showPercent val="0"/>
          <c:showBubbleSize val="0"/>
        </c:dLbls>
        <c:gapWidth val="182"/>
        <c:axId val="228270640"/>
        <c:axId val="2109677519"/>
      </c:barChart>
      <c:catAx>
        <c:axId val="22827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77519"/>
        <c:crosses val="autoZero"/>
        <c:auto val="1"/>
        <c:lblAlgn val="ctr"/>
        <c:lblOffset val="100"/>
        <c:noMultiLvlLbl val="0"/>
      </c:catAx>
      <c:valAx>
        <c:axId val="210967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27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dashboard.xlsx]Sheet4!PivotTable22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customers by Gender and Personal training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Sheet4!$B$21:$B$22</c:f>
              <c:strCache>
                <c:ptCount val="1"/>
                <c:pt idx="0">
                  <c:v>FALSE</c:v>
                </c:pt>
              </c:strCache>
            </c:strRef>
          </c:tx>
          <c:spPr>
            <a:solidFill>
              <a:schemeClr val="accent1"/>
            </a:solidFill>
            <a:ln>
              <a:noFill/>
            </a:ln>
            <a:effectLst/>
          </c:spPr>
          <c:invertIfNegative val="0"/>
          <c:cat>
            <c:strRef>
              <c:f>Sheet4!$A$23:$A$25</c:f>
              <c:strCache>
                <c:ptCount val="2"/>
                <c:pt idx="0">
                  <c:v>Female</c:v>
                </c:pt>
                <c:pt idx="1">
                  <c:v>Male</c:v>
                </c:pt>
              </c:strCache>
            </c:strRef>
          </c:cat>
          <c:val>
            <c:numRef>
              <c:f>Sheet4!$B$23:$B$25</c:f>
              <c:numCache>
                <c:formatCode>General</c:formatCode>
                <c:ptCount val="2"/>
                <c:pt idx="0">
                  <c:v>255</c:v>
                </c:pt>
                <c:pt idx="1">
                  <c:v>227</c:v>
                </c:pt>
              </c:numCache>
            </c:numRef>
          </c:val>
          <c:extLst>
            <c:ext xmlns:c16="http://schemas.microsoft.com/office/drawing/2014/chart" uri="{C3380CC4-5D6E-409C-BE32-E72D297353CC}">
              <c16:uniqueId val="{00000000-9D5B-4CE4-8719-0D787401E5EC}"/>
            </c:ext>
          </c:extLst>
        </c:ser>
        <c:ser>
          <c:idx val="1"/>
          <c:order val="1"/>
          <c:tx>
            <c:strRef>
              <c:f>Sheet4!$C$21:$C$22</c:f>
              <c:strCache>
                <c:ptCount val="1"/>
                <c:pt idx="0">
                  <c:v>TRUE</c:v>
                </c:pt>
              </c:strCache>
            </c:strRef>
          </c:tx>
          <c:spPr>
            <a:solidFill>
              <a:schemeClr val="accent2"/>
            </a:solidFill>
            <a:ln>
              <a:noFill/>
            </a:ln>
            <a:effectLst/>
          </c:spPr>
          <c:invertIfNegative val="0"/>
          <c:cat>
            <c:strRef>
              <c:f>Sheet4!$A$23:$A$25</c:f>
              <c:strCache>
                <c:ptCount val="2"/>
                <c:pt idx="0">
                  <c:v>Female</c:v>
                </c:pt>
                <c:pt idx="1">
                  <c:v>Male</c:v>
                </c:pt>
              </c:strCache>
            </c:strRef>
          </c:cat>
          <c:val>
            <c:numRef>
              <c:f>Sheet4!$C$23:$C$25</c:f>
              <c:numCache>
                <c:formatCode>General</c:formatCode>
                <c:ptCount val="2"/>
                <c:pt idx="0">
                  <c:v>248</c:v>
                </c:pt>
                <c:pt idx="1">
                  <c:v>270</c:v>
                </c:pt>
              </c:numCache>
            </c:numRef>
          </c:val>
          <c:extLst>
            <c:ext xmlns:c16="http://schemas.microsoft.com/office/drawing/2014/chart" uri="{C3380CC4-5D6E-409C-BE32-E72D297353CC}">
              <c16:uniqueId val="{00000002-07E2-41CC-B1A2-80334C51CB1A}"/>
            </c:ext>
          </c:extLst>
        </c:ser>
        <c:dLbls>
          <c:showLegendKey val="0"/>
          <c:showVal val="0"/>
          <c:showCatName val="0"/>
          <c:showSerName val="0"/>
          <c:showPercent val="0"/>
          <c:showBubbleSize val="0"/>
        </c:dLbls>
        <c:gapWidth val="182"/>
        <c:axId val="112705840"/>
        <c:axId val="2109667439"/>
      </c:barChart>
      <c:catAx>
        <c:axId val="1127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667439"/>
        <c:crosses val="autoZero"/>
        <c:auto val="1"/>
        <c:lblAlgn val="ctr"/>
        <c:lblOffset val="100"/>
        <c:noMultiLvlLbl val="0"/>
      </c:catAx>
      <c:valAx>
        <c:axId val="2109667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performance dashboard.xlsx]Sheet4!PivotTable23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Customers</a:t>
            </a:r>
            <a:r>
              <a:rPr lang="en-US" b="1" baseline="0"/>
              <a:t> by Personal trainer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Sheet4!$U$5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98-4C52-8780-9B4AF36CDE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98-4C52-8780-9B4AF36CDE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98-4C52-8780-9B4AF36CDE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98-4C52-8780-9B4AF36CDE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98-4C52-8780-9B4AF36CDE5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Sheet4!$T$6:$T$11</c:f>
              <c:strCache>
                <c:ptCount val="5"/>
                <c:pt idx="0">
                  <c:v>Chantal</c:v>
                </c:pt>
                <c:pt idx="1">
                  <c:v>Hanna</c:v>
                </c:pt>
                <c:pt idx="2">
                  <c:v>Jeffrey</c:v>
                </c:pt>
                <c:pt idx="3">
                  <c:v>Mike</c:v>
                </c:pt>
                <c:pt idx="4">
                  <c:v>No trainer</c:v>
                </c:pt>
              </c:strCache>
            </c:strRef>
          </c:cat>
          <c:val>
            <c:numRef>
              <c:f>Sheet4!$U$6:$U$11</c:f>
              <c:numCache>
                <c:formatCode>General</c:formatCode>
                <c:ptCount val="5"/>
                <c:pt idx="0">
                  <c:v>153</c:v>
                </c:pt>
                <c:pt idx="1">
                  <c:v>114</c:v>
                </c:pt>
                <c:pt idx="2">
                  <c:v>111</c:v>
                </c:pt>
                <c:pt idx="3">
                  <c:v>140</c:v>
                </c:pt>
                <c:pt idx="4">
                  <c:v>482</c:v>
                </c:pt>
              </c:numCache>
            </c:numRef>
          </c:val>
          <c:extLst>
            <c:ext xmlns:c16="http://schemas.microsoft.com/office/drawing/2014/chart" uri="{C3380CC4-5D6E-409C-BE32-E72D297353CC}">
              <c16:uniqueId val="{00000000-A4C7-440C-81FC-E88DAE89E88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180976</xdr:colOff>
      <xdr:row>42</xdr:row>
      <xdr:rowOff>0</xdr:rowOff>
    </xdr:to>
    <xdr:sp macro="" textlink="">
      <xdr:nvSpPr>
        <xdr:cNvPr id="6" name="Rectangle 5">
          <a:extLst>
            <a:ext uri="{FF2B5EF4-FFF2-40B4-BE49-F238E27FC236}">
              <a16:creationId xmlns:a16="http://schemas.microsoft.com/office/drawing/2014/main" id="{F3A6CBB4-523D-E31E-249A-7103DEBB5CE8}"/>
            </a:ext>
          </a:extLst>
        </xdr:cNvPr>
        <xdr:cNvSpPr/>
      </xdr:nvSpPr>
      <xdr:spPr>
        <a:xfrm>
          <a:off x="0" y="0"/>
          <a:ext cx="20297776" cy="80010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0</xdr:row>
      <xdr:rowOff>66676</xdr:rowOff>
    </xdr:from>
    <xdr:to>
      <xdr:col>19</xdr:col>
      <xdr:colOff>495299</xdr:colOff>
      <xdr:row>2</xdr:row>
      <xdr:rowOff>161926</xdr:rowOff>
    </xdr:to>
    <xdr:sp macro="" textlink="">
      <xdr:nvSpPr>
        <xdr:cNvPr id="7" name="TextBox 6">
          <a:extLst>
            <a:ext uri="{FF2B5EF4-FFF2-40B4-BE49-F238E27FC236}">
              <a16:creationId xmlns:a16="http://schemas.microsoft.com/office/drawing/2014/main" id="{2DD6AFE1-1F45-16C9-F27D-3D9EF0D53404}"/>
            </a:ext>
          </a:extLst>
        </xdr:cNvPr>
        <xdr:cNvSpPr txBox="1"/>
      </xdr:nvSpPr>
      <xdr:spPr>
        <a:xfrm>
          <a:off x="2247900" y="66676"/>
          <a:ext cx="9829799" cy="4762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accent5"/>
              </a:solidFill>
            </a:rPr>
            <a:t>THE GYM PERFORMANCE DASHBOARD</a:t>
          </a:r>
        </a:p>
      </xdr:txBody>
    </xdr:sp>
    <xdr:clientData/>
  </xdr:twoCellAnchor>
  <xdr:twoCellAnchor editAs="oneCell">
    <xdr:from>
      <xdr:col>4</xdr:col>
      <xdr:colOff>142876</xdr:colOff>
      <xdr:row>0</xdr:row>
      <xdr:rowOff>76200</xdr:rowOff>
    </xdr:from>
    <xdr:to>
      <xdr:col>5</xdr:col>
      <xdr:colOff>381000</xdr:colOff>
      <xdr:row>2</xdr:row>
      <xdr:rowOff>171673</xdr:rowOff>
    </xdr:to>
    <xdr:pic>
      <xdr:nvPicPr>
        <xdr:cNvPr id="8" name="Picture 7" descr="3d illustration of free weights or dumbells and fitness equipment for training exercise and healthy living in gym or studio">
          <a:extLst>
            <a:ext uri="{FF2B5EF4-FFF2-40B4-BE49-F238E27FC236}">
              <a16:creationId xmlns:a16="http://schemas.microsoft.com/office/drawing/2014/main" id="{3321D2A1-6A64-E9AA-8CC4-41D49C3426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81276" y="76200"/>
          <a:ext cx="847724" cy="476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200025</xdr:colOff>
      <xdr:row>3</xdr:row>
      <xdr:rowOff>0</xdr:rowOff>
    </xdr:from>
    <xdr:to>
      <xdr:col>11</xdr:col>
      <xdr:colOff>466725</xdr:colOff>
      <xdr:row>13</xdr:row>
      <xdr:rowOff>47625</xdr:rowOff>
    </xdr:to>
    <xdr:graphicFrame macro="">
      <xdr:nvGraphicFramePr>
        <xdr:cNvPr id="9" name="Chart 8">
          <a:extLst>
            <a:ext uri="{FF2B5EF4-FFF2-40B4-BE49-F238E27FC236}">
              <a16:creationId xmlns:a16="http://schemas.microsoft.com/office/drawing/2014/main" id="{1332EC53-81AC-4A72-9B26-451AAFFB2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485775</xdr:colOff>
      <xdr:row>13</xdr:row>
      <xdr:rowOff>47625</xdr:rowOff>
    </xdr:from>
    <xdr:to>
      <xdr:col>16</xdr:col>
      <xdr:colOff>466725</xdr:colOff>
      <xdr:row>24</xdr:row>
      <xdr:rowOff>95250</xdr:rowOff>
    </xdr:to>
    <xdr:graphicFrame macro="">
      <xdr:nvGraphicFramePr>
        <xdr:cNvPr id="10" name="Chart 9">
          <a:extLst>
            <a:ext uri="{FF2B5EF4-FFF2-40B4-BE49-F238E27FC236}">
              <a16:creationId xmlns:a16="http://schemas.microsoft.com/office/drawing/2014/main" id="{AB49CF6E-50E2-487B-805A-59F1F5AD8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485775</xdr:colOff>
      <xdr:row>2</xdr:row>
      <xdr:rowOff>171450</xdr:rowOff>
    </xdr:from>
    <xdr:to>
      <xdr:col>16</xdr:col>
      <xdr:colOff>485775</xdr:colOff>
      <xdr:row>13</xdr:row>
      <xdr:rowOff>57149</xdr:rowOff>
    </xdr:to>
    <xdr:graphicFrame macro="">
      <xdr:nvGraphicFramePr>
        <xdr:cNvPr id="11" name="Chart 10">
          <a:extLst>
            <a:ext uri="{FF2B5EF4-FFF2-40B4-BE49-F238E27FC236}">
              <a16:creationId xmlns:a16="http://schemas.microsoft.com/office/drawing/2014/main" id="{B42F0A38-4AFF-41F6-A862-2F178029B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495300</xdr:colOff>
      <xdr:row>2</xdr:row>
      <xdr:rowOff>171450</xdr:rowOff>
    </xdr:from>
    <xdr:to>
      <xdr:col>22</xdr:col>
      <xdr:colOff>276225</xdr:colOff>
      <xdr:row>13</xdr:row>
      <xdr:rowOff>47625</xdr:rowOff>
    </xdr:to>
    <xdr:graphicFrame macro="">
      <xdr:nvGraphicFramePr>
        <xdr:cNvPr id="12" name="Chart 11">
          <a:extLst>
            <a:ext uri="{FF2B5EF4-FFF2-40B4-BE49-F238E27FC236}">
              <a16:creationId xmlns:a16="http://schemas.microsoft.com/office/drawing/2014/main" id="{C487530B-E9F3-4D11-83F8-4E261FAD1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285750</xdr:colOff>
      <xdr:row>2</xdr:row>
      <xdr:rowOff>123824</xdr:rowOff>
    </xdr:from>
    <xdr:to>
      <xdr:col>28</xdr:col>
      <xdr:colOff>504825</xdr:colOff>
      <xdr:row>13</xdr:row>
      <xdr:rowOff>57149</xdr:rowOff>
    </xdr:to>
    <xdr:graphicFrame macro="">
      <xdr:nvGraphicFramePr>
        <xdr:cNvPr id="13" name="Chart 12">
          <a:extLst>
            <a:ext uri="{FF2B5EF4-FFF2-40B4-BE49-F238E27FC236}">
              <a16:creationId xmlns:a16="http://schemas.microsoft.com/office/drawing/2014/main" id="{F1767999-95B4-4FA8-A5CB-4BB0329BC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495300</xdr:colOff>
      <xdr:row>13</xdr:row>
      <xdr:rowOff>57150</xdr:rowOff>
    </xdr:from>
    <xdr:to>
      <xdr:col>22</xdr:col>
      <xdr:colOff>266700</xdr:colOff>
      <xdr:row>24</xdr:row>
      <xdr:rowOff>104775</xdr:rowOff>
    </xdr:to>
    <xdr:graphicFrame macro="">
      <xdr:nvGraphicFramePr>
        <xdr:cNvPr id="14" name="Chart 13">
          <a:extLst>
            <a:ext uri="{FF2B5EF4-FFF2-40B4-BE49-F238E27FC236}">
              <a16:creationId xmlns:a16="http://schemas.microsoft.com/office/drawing/2014/main" id="{CA475916-5860-4ED0-A02C-1814B7EC2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209549</xdr:colOff>
      <xdr:row>24</xdr:row>
      <xdr:rowOff>85724</xdr:rowOff>
    </xdr:from>
    <xdr:to>
      <xdr:col>17</xdr:col>
      <xdr:colOff>523875</xdr:colOff>
      <xdr:row>39</xdr:row>
      <xdr:rowOff>9525</xdr:rowOff>
    </xdr:to>
    <xdr:graphicFrame macro="">
      <xdr:nvGraphicFramePr>
        <xdr:cNvPr id="15" name="Chart 14">
          <a:extLst>
            <a:ext uri="{FF2B5EF4-FFF2-40B4-BE49-F238E27FC236}">
              <a16:creationId xmlns:a16="http://schemas.microsoft.com/office/drawing/2014/main" id="{68C9A4D0-90C9-42BC-BC10-A437D20BF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200026</xdr:colOff>
      <xdr:row>13</xdr:row>
      <xdr:rowOff>57150</xdr:rowOff>
    </xdr:from>
    <xdr:to>
      <xdr:col>11</xdr:col>
      <xdr:colOff>466726</xdr:colOff>
      <xdr:row>24</xdr:row>
      <xdr:rowOff>104775</xdr:rowOff>
    </xdr:to>
    <xdr:graphicFrame macro="">
      <xdr:nvGraphicFramePr>
        <xdr:cNvPr id="16" name="Chart 15">
          <a:extLst>
            <a:ext uri="{FF2B5EF4-FFF2-40B4-BE49-F238E27FC236}">
              <a16:creationId xmlns:a16="http://schemas.microsoft.com/office/drawing/2014/main" id="{8245FDA0-A182-43FB-8C9E-2D4FF5D63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276224</xdr:colOff>
      <xdr:row>13</xdr:row>
      <xdr:rowOff>57150</xdr:rowOff>
    </xdr:from>
    <xdr:to>
      <xdr:col>28</xdr:col>
      <xdr:colOff>514349</xdr:colOff>
      <xdr:row>24</xdr:row>
      <xdr:rowOff>114300</xdr:rowOff>
    </xdr:to>
    <xdr:graphicFrame macro="">
      <xdr:nvGraphicFramePr>
        <xdr:cNvPr id="17" name="Chart 16">
          <a:extLst>
            <a:ext uri="{FF2B5EF4-FFF2-40B4-BE49-F238E27FC236}">
              <a16:creationId xmlns:a16="http://schemas.microsoft.com/office/drawing/2014/main" id="{E8A8F9EF-2BB6-46DF-98E5-77C1F94F0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523875</xdr:colOff>
      <xdr:row>24</xdr:row>
      <xdr:rowOff>133349</xdr:rowOff>
    </xdr:from>
    <xdr:to>
      <xdr:col>28</xdr:col>
      <xdr:colOff>533400</xdr:colOff>
      <xdr:row>39</xdr:row>
      <xdr:rowOff>28574</xdr:rowOff>
    </xdr:to>
    <xdr:graphicFrame macro="">
      <xdr:nvGraphicFramePr>
        <xdr:cNvPr id="19" name="Chart 18">
          <a:extLst>
            <a:ext uri="{FF2B5EF4-FFF2-40B4-BE49-F238E27FC236}">
              <a16:creationId xmlns:a16="http://schemas.microsoft.com/office/drawing/2014/main" id="{B1924DE9-1D85-45B9-B051-152C583FC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19050</xdr:colOff>
      <xdr:row>8</xdr:row>
      <xdr:rowOff>9525</xdr:rowOff>
    </xdr:from>
    <xdr:to>
      <xdr:col>3</xdr:col>
      <xdr:colOff>133350</xdr:colOff>
      <xdr:row>12</xdr:row>
      <xdr:rowOff>161925</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47E96D98-153B-8EB4-D691-8981305FF9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050" y="1533525"/>
              <a:ext cx="1905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12</xdr:row>
      <xdr:rowOff>166133</xdr:rowOff>
    </xdr:from>
    <xdr:to>
      <xdr:col>6</xdr:col>
      <xdr:colOff>133350</xdr:colOff>
      <xdr:row>39</xdr:row>
      <xdr:rowOff>44303</xdr:rowOff>
    </xdr:to>
    <mc:AlternateContent xmlns:mc="http://schemas.openxmlformats.org/markup-compatibility/2006" xmlns:a14="http://schemas.microsoft.com/office/drawing/2010/main">
      <mc:Choice Requires="a14">
        <xdr:graphicFrame macro="">
          <xdr:nvGraphicFramePr>
            <xdr:cNvPr id="21" name="Age">
              <a:extLst>
                <a:ext uri="{FF2B5EF4-FFF2-40B4-BE49-F238E27FC236}">
                  <a16:creationId xmlns:a16="http://schemas.microsoft.com/office/drawing/2014/main" id="{CAB6023F-8407-F2C8-DAAA-E468181159B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525" y="2486023"/>
              <a:ext cx="3705225" cy="4210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3</xdr:row>
      <xdr:rowOff>19050</xdr:rowOff>
    </xdr:from>
    <xdr:to>
      <xdr:col>3</xdr:col>
      <xdr:colOff>133350</xdr:colOff>
      <xdr:row>8</xdr:row>
      <xdr:rowOff>19050</xdr:rowOff>
    </xdr:to>
    <mc:AlternateContent xmlns:mc="http://schemas.openxmlformats.org/markup-compatibility/2006" xmlns:a14="http://schemas.microsoft.com/office/drawing/2010/main">
      <mc:Choice Requires="a14">
        <xdr:graphicFrame macro="">
          <xdr:nvGraphicFramePr>
            <xdr:cNvPr id="22" name="abonoment_type">
              <a:extLst>
                <a:ext uri="{FF2B5EF4-FFF2-40B4-BE49-F238E27FC236}">
                  <a16:creationId xmlns:a16="http://schemas.microsoft.com/office/drawing/2014/main" id="{74CCC470-4A0E-525E-4422-D548AC84900F}"/>
                </a:ext>
              </a:extLst>
            </xdr:cNvPr>
            <xdr:cNvGraphicFramePr/>
          </xdr:nvGraphicFramePr>
          <xdr:xfrm>
            <a:off x="0" y="0"/>
            <a:ext cx="0" cy="0"/>
          </xdr:xfrm>
          <a:graphic>
            <a:graphicData uri="http://schemas.microsoft.com/office/drawing/2010/slicer">
              <sle:slicer xmlns:sle="http://schemas.microsoft.com/office/drawing/2010/slicer" name="abonoment_type"/>
            </a:graphicData>
          </a:graphic>
        </xdr:graphicFrame>
      </mc:Choice>
      <mc:Fallback xmlns="">
        <xdr:sp macro="" textlink="">
          <xdr:nvSpPr>
            <xdr:cNvPr id="0" name=""/>
            <xdr:cNvSpPr>
              <a:spLocks noTextEdit="1"/>
            </xdr:cNvSpPr>
          </xdr:nvSpPr>
          <xdr:spPr>
            <a:xfrm>
              <a:off x="28574" y="590550"/>
              <a:ext cx="19145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123825</xdr:colOff>
      <xdr:row>3</xdr:row>
      <xdr:rowOff>19050</xdr:rowOff>
    </xdr:from>
    <xdr:to>
      <xdr:col>6</xdr:col>
      <xdr:colOff>123825</xdr:colOff>
      <xdr:row>12</xdr:row>
      <xdr:rowOff>152400</xdr:rowOff>
    </xdr:to>
    <mc:AlternateContent xmlns:mc="http://schemas.openxmlformats.org/markup-compatibility/2006" xmlns:a14="http://schemas.microsoft.com/office/drawing/2010/main">
      <mc:Choice Requires="a14">
        <xdr:graphicFrame macro="">
          <xdr:nvGraphicFramePr>
            <xdr:cNvPr id="24" name="name_personal_trainer">
              <a:extLst>
                <a:ext uri="{FF2B5EF4-FFF2-40B4-BE49-F238E27FC236}">
                  <a16:creationId xmlns:a16="http://schemas.microsoft.com/office/drawing/2014/main" id="{E72CBBE6-7663-845E-E39D-7B3BB7BC0C99}"/>
                </a:ext>
              </a:extLst>
            </xdr:cNvPr>
            <xdr:cNvGraphicFramePr/>
          </xdr:nvGraphicFramePr>
          <xdr:xfrm>
            <a:off x="0" y="0"/>
            <a:ext cx="0" cy="0"/>
          </xdr:xfrm>
          <a:graphic>
            <a:graphicData uri="http://schemas.microsoft.com/office/drawing/2010/slicer">
              <sle:slicer xmlns:sle="http://schemas.microsoft.com/office/drawing/2010/slicer" name="name_personal_trainer"/>
            </a:graphicData>
          </a:graphic>
        </xdr:graphicFrame>
      </mc:Choice>
      <mc:Fallback xmlns="">
        <xdr:sp macro="" textlink="">
          <xdr:nvSpPr>
            <xdr:cNvPr id="0" name=""/>
            <xdr:cNvSpPr>
              <a:spLocks noTextEdit="1"/>
            </xdr:cNvSpPr>
          </xdr:nvSpPr>
          <xdr:spPr>
            <a:xfrm>
              <a:off x="1952625" y="590550"/>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304800</xdr:colOff>
      <xdr:row>2</xdr:row>
      <xdr:rowOff>71437</xdr:rowOff>
    </xdr:from>
    <xdr:to>
      <xdr:col>15</xdr:col>
      <xdr:colOff>571500</xdr:colOff>
      <xdr:row>16</xdr:row>
      <xdr:rowOff>147637</xdr:rowOff>
    </xdr:to>
    <xdr:graphicFrame macro="">
      <xdr:nvGraphicFramePr>
        <xdr:cNvPr id="2" name="Chart 1">
          <a:extLst>
            <a:ext uri="{FF2B5EF4-FFF2-40B4-BE49-F238E27FC236}">
              <a16:creationId xmlns:a16="http://schemas.microsoft.com/office/drawing/2014/main" id="{3F07B150-74D2-93FB-B3C2-4CBE42A8D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219075</xdr:colOff>
      <xdr:row>23</xdr:row>
      <xdr:rowOff>42862</xdr:rowOff>
    </xdr:from>
    <xdr:to>
      <xdr:col>15</xdr:col>
      <xdr:colOff>485775</xdr:colOff>
      <xdr:row>37</xdr:row>
      <xdr:rowOff>119062</xdr:rowOff>
    </xdr:to>
    <xdr:graphicFrame macro="">
      <xdr:nvGraphicFramePr>
        <xdr:cNvPr id="3" name="Chart 2">
          <a:extLst>
            <a:ext uri="{FF2B5EF4-FFF2-40B4-BE49-F238E27FC236}">
              <a16:creationId xmlns:a16="http://schemas.microsoft.com/office/drawing/2014/main" id="{880E639D-5BD8-5CB5-A591-1CF076A57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209550</xdr:colOff>
      <xdr:row>0</xdr:row>
      <xdr:rowOff>176212</xdr:rowOff>
    </xdr:from>
    <xdr:to>
      <xdr:col>12</xdr:col>
      <xdr:colOff>438150</xdr:colOff>
      <xdr:row>14</xdr:row>
      <xdr:rowOff>19050</xdr:rowOff>
    </xdr:to>
    <xdr:graphicFrame macro="">
      <xdr:nvGraphicFramePr>
        <xdr:cNvPr id="2" name="Chart 1">
          <a:extLst>
            <a:ext uri="{FF2B5EF4-FFF2-40B4-BE49-F238E27FC236}">
              <a16:creationId xmlns:a16="http://schemas.microsoft.com/office/drawing/2014/main" id="{C28E5B50-A419-C1C6-60E5-076B72C6D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371475</xdr:colOff>
      <xdr:row>35</xdr:row>
      <xdr:rowOff>0</xdr:rowOff>
    </xdr:from>
    <xdr:to>
      <xdr:col>13</xdr:col>
      <xdr:colOff>342900</xdr:colOff>
      <xdr:row>46</xdr:row>
      <xdr:rowOff>66676</xdr:rowOff>
    </xdr:to>
    <xdr:graphicFrame macro="">
      <xdr:nvGraphicFramePr>
        <xdr:cNvPr id="6" name="Chart 5">
          <a:extLst>
            <a:ext uri="{FF2B5EF4-FFF2-40B4-BE49-F238E27FC236}">
              <a16:creationId xmlns:a16="http://schemas.microsoft.com/office/drawing/2014/main" id="{DF3F042C-4135-8F6D-1C9E-CE3275E1E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16</xdr:row>
      <xdr:rowOff>71437</xdr:rowOff>
    </xdr:from>
    <xdr:to>
      <xdr:col>8</xdr:col>
      <xdr:colOff>247650</xdr:colOff>
      <xdr:row>27</xdr:row>
      <xdr:rowOff>76200</xdr:rowOff>
    </xdr:to>
    <xdr:graphicFrame macro="">
      <xdr:nvGraphicFramePr>
        <xdr:cNvPr id="7" name="Chart 6">
          <a:extLst>
            <a:ext uri="{FF2B5EF4-FFF2-40B4-BE49-F238E27FC236}">
              <a16:creationId xmlns:a16="http://schemas.microsoft.com/office/drawing/2014/main" id="{F22E2668-0445-CCCB-8450-AB6141AA0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28575</xdr:colOff>
      <xdr:row>0</xdr:row>
      <xdr:rowOff>90488</xdr:rowOff>
    </xdr:from>
    <xdr:to>
      <xdr:col>14</xdr:col>
      <xdr:colOff>247650</xdr:colOff>
      <xdr:row>10</xdr:row>
      <xdr:rowOff>85726</xdr:rowOff>
    </xdr:to>
    <xdr:graphicFrame macro="">
      <xdr:nvGraphicFramePr>
        <xdr:cNvPr id="2" name="Chart 1">
          <a:extLst>
            <a:ext uri="{FF2B5EF4-FFF2-40B4-BE49-F238E27FC236}">
              <a16:creationId xmlns:a16="http://schemas.microsoft.com/office/drawing/2014/main" id="{AC8AFD3E-FE72-0899-E242-F93979071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13</xdr:row>
      <xdr:rowOff>138112</xdr:rowOff>
    </xdr:from>
    <xdr:to>
      <xdr:col>12</xdr:col>
      <xdr:colOff>200025</xdr:colOff>
      <xdr:row>25</xdr:row>
      <xdr:rowOff>95250</xdr:rowOff>
    </xdr:to>
    <xdr:graphicFrame macro="">
      <xdr:nvGraphicFramePr>
        <xdr:cNvPr id="3" name="Chart 2">
          <a:extLst>
            <a:ext uri="{FF2B5EF4-FFF2-40B4-BE49-F238E27FC236}">
              <a16:creationId xmlns:a16="http://schemas.microsoft.com/office/drawing/2014/main" id="{404CBA22-BE23-0344-B388-30CA2461B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590550</xdr:colOff>
      <xdr:row>12</xdr:row>
      <xdr:rowOff>61912</xdr:rowOff>
    </xdr:from>
    <xdr:to>
      <xdr:col>20</xdr:col>
      <xdr:colOff>590550</xdr:colOff>
      <xdr:row>26</xdr:row>
      <xdr:rowOff>138112</xdr:rowOff>
    </xdr:to>
    <xdr:graphicFrame macro="">
      <xdr:nvGraphicFramePr>
        <xdr:cNvPr id="5" name="Chart 4">
          <a:extLst>
            <a:ext uri="{FF2B5EF4-FFF2-40B4-BE49-F238E27FC236}">
              <a16:creationId xmlns:a16="http://schemas.microsoft.com/office/drawing/2014/main" id="{5A9521E8-D664-95DF-E0B3-72252CA5C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676275</xdr:colOff>
      <xdr:row>1</xdr:row>
      <xdr:rowOff>119062</xdr:rowOff>
    </xdr:from>
    <xdr:to>
      <xdr:col>13</xdr:col>
      <xdr:colOff>9526</xdr:colOff>
      <xdr:row>13</xdr:row>
      <xdr:rowOff>133350</xdr:rowOff>
    </xdr:to>
    <xdr:graphicFrame macro="">
      <xdr:nvGraphicFramePr>
        <xdr:cNvPr id="2" name="Chart 1">
          <a:extLst>
            <a:ext uri="{FF2B5EF4-FFF2-40B4-BE49-F238E27FC236}">
              <a16:creationId xmlns:a16="http://schemas.microsoft.com/office/drawing/2014/main" id="{221BE011-71E3-577B-02FD-F30D225EF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161925</xdr:colOff>
      <xdr:row>17</xdr:row>
      <xdr:rowOff>33337</xdr:rowOff>
    </xdr:from>
    <xdr:to>
      <xdr:col>15</xdr:col>
      <xdr:colOff>133350</xdr:colOff>
      <xdr:row>27</xdr:row>
      <xdr:rowOff>171450</xdr:rowOff>
    </xdr:to>
    <xdr:graphicFrame macro="">
      <xdr:nvGraphicFramePr>
        <xdr:cNvPr id="3" name="Chart 2">
          <a:extLst>
            <a:ext uri="{FF2B5EF4-FFF2-40B4-BE49-F238E27FC236}">
              <a16:creationId xmlns:a16="http://schemas.microsoft.com/office/drawing/2014/main" id="{89B1BB80-8513-B6EC-2676-3ACF63274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609600</xdr:colOff>
      <xdr:row>11</xdr:row>
      <xdr:rowOff>42862</xdr:rowOff>
    </xdr:from>
    <xdr:to>
      <xdr:col>29</xdr:col>
      <xdr:colOff>47625</xdr:colOff>
      <xdr:row>25</xdr:row>
      <xdr:rowOff>119062</xdr:rowOff>
    </xdr:to>
    <xdr:graphicFrame macro="">
      <xdr:nvGraphicFramePr>
        <xdr:cNvPr id="4" name="Chart 3">
          <a:extLst>
            <a:ext uri="{FF2B5EF4-FFF2-40B4-BE49-F238E27FC236}">
              <a16:creationId xmlns:a16="http://schemas.microsoft.com/office/drawing/2014/main" id="{3605F4CC-F1FE-08A2-5C23-8672F77B9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thy Sodeinde" refreshedDate="46263.990228819443" createdVersion="8" refreshedVersion="8" minRefreshableVersion="3" recordCount="1000" xr:uid="{AFC3197B-A810-4D8F-A055-54AB92192AE8}">
  <cacheSource type="worksheet">
    <worksheetSource name="gym_membership"/>
  </cacheSource>
  <cacheFields count="28">
    <cacheField name="id" numFmtId="0">
      <sharedItems containsSemiMixedTypes="0" containsString="0" containsNumber="1" containsInteger="1" minValue="1" maxValue="1000"/>
    </cacheField>
    <cacheField name="gender" numFmtId="0">
      <sharedItems count="2">
        <s v="Female"/>
        <s v="Male"/>
      </sharedItems>
    </cacheField>
    <cacheField name="birthday" numFmtId="165">
      <sharedItems containsSemiMixedTypes="0" containsNonDate="0" containsDate="1" containsString="0" minDate="1975-01-12T00:00:00" maxDate="2012-09-22T00:00:00" count="974">
        <d v="1997-04-18T00:00:00"/>
        <d v="1977-09-18T00:00:00"/>
        <d v="1983-03-30T00:00:00"/>
        <d v="1980-04-12T00:00:00"/>
        <d v="1980-09-10T00:00:00"/>
        <d v="2009-06-29T00:00:00"/>
        <d v="1994-08-07T00:00:00"/>
        <d v="2003-11-13T00:00:00"/>
        <d v="1978-07-28T00:00:00"/>
        <d v="2000-05-06T00:00:00"/>
        <d v="1983-07-11T00:00:00"/>
        <d v="1997-09-19T00:00:00"/>
        <d v="1994-04-22T00:00:00"/>
        <d v="1989-03-21T00:00:00"/>
        <d v="1989-10-01T00:00:00"/>
        <d v="1987-12-20T00:00:00"/>
        <d v="1986-12-17T00:00:00"/>
        <d v="2011-04-30T00:00:00"/>
        <d v="1986-05-29T00:00:00"/>
        <d v="1991-09-13T00:00:00"/>
        <d v="1997-12-31T00:00:00"/>
        <d v="1997-10-29T00:00:00"/>
        <d v="2010-10-22T00:00:00"/>
        <d v="2010-01-24T00:00:00"/>
        <d v="2008-10-04T00:00:00"/>
        <d v="1989-06-17T00:00:00"/>
        <d v="2005-03-31T00:00:00"/>
        <d v="1992-04-10T00:00:00"/>
        <d v="1997-01-21T00:00:00"/>
        <d v="2002-11-04T00:00:00"/>
        <d v="1988-03-04T00:00:00"/>
        <d v="2000-03-02T00:00:00"/>
        <d v="1982-02-26T00:00:00"/>
        <d v="1976-12-07T00:00:00"/>
        <d v="2004-03-06T00:00:00"/>
        <d v="1990-03-09T00:00:00"/>
        <d v="1981-03-18T00:00:00"/>
        <d v="1983-11-01T00:00:00"/>
        <d v="1980-07-05T00:00:00"/>
        <d v="2006-01-19T00:00:00"/>
        <d v="2008-06-11T00:00:00"/>
        <d v="1989-07-08T00:00:00"/>
        <d v="1995-06-26T00:00:00"/>
        <d v="1996-04-05T00:00:00"/>
        <d v="1976-01-19T00:00:00"/>
        <d v="1981-05-22T00:00:00"/>
        <d v="1989-03-04T00:00:00"/>
        <d v="1997-11-15T00:00:00"/>
        <d v="1975-10-23T00:00:00"/>
        <d v="1979-12-29T00:00:00"/>
        <d v="1979-07-17T00:00:00"/>
        <d v="1996-04-21T00:00:00"/>
        <d v="2004-07-17T00:00:00"/>
        <d v="1980-11-27T00:00:00"/>
        <d v="2000-01-04T00:00:00"/>
        <d v="2002-07-26T00:00:00"/>
        <d v="2001-06-12T00:00:00"/>
        <d v="1977-12-30T00:00:00"/>
        <d v="2007-07-11T00:00:00"/>
        <d v="1988-08-20T00:00:00"/>
        <d v="1977-05-08T00:00:00"/>
        <d v="1995-05-13T00:00:00"/>
        <d v="1994-03-10T00:00:00"/>
        <d v="2002-05-16T00:00:00"/>
        <d v="1982-11-21T00:00:00"/>
        <d v="1979-03-27T00:00:00"/>
        <d v="2002-04-26T00:00:00"/>
        <d v="2004-07-16T00:00:00"/>
        <d v="1990-12-12T00:00:00"/>
        <d v="1988-08-01T00:00:00"/>
        <d v="1994-09-21T00:00:00"/>
        <d v="2007-03-13T00:00:00"/>
        <d v="1988-12-31T00:00:00"/>
        <d v="1995-12-16T00:00:00"/>
        <d v="1996-11-30T00:00:00"/>
        <d v="2004-06-09T00:00:00"/>
        <d v="2007-04-19T00:00:00"/>
        <d v="1990-10-24T00:00:00"/>
        <d v="1981-04-24T00:00:00"/>
        <d v="1988-09-23T00:00:00"/>
        <d v="1978-10-15T00:00:00"/>
        <d v="1981-11-06T00:00:00"/>
        <d v="1995-04-02T00:00:00"/>
        <d v="2006-07-30T00:00:00"/>
        <d v="1992-04-27T00:00:00"/>
        <d v="1997-02-09T00:00:00"/>
        <d v="1977-06-27T00:00:00"/>
        <d v="2008-10-05T00:00:00"/>
        <d v="1984-12-21T00:00:00"/>
        <d v="1978-08-24T00:00:00"/>
        <d v="2003-03-08T00:00:00"/>
        <d v="1993-08-17T00:00:00"/>
        <d v="1984-06-06T00:00:00"/>
        <d v="1983-06-03T00:00:00"/>
        <d v="2012-05-10T00:00:00"/>
        <d v="1984-04-10T00:00:00"/>
        <d v="1995-03-24T00:00:00"/>
        <d v="2005-09-18T00:00:00"/>
        <d v="1990-03-23T00:00:00"/>
        <d v="2003-02-08T00:00:00"/>
        <d v="1980-05-18T00:00:00"/>
        <d v="2000-02-15T00:00:00"/>
        <d v="1990-11-06T00:00:00"/>
        <d v="1976-12-20T00:00:00"/>
        <d v="1986-03-15T00:00:00"/>
        <d v="2012-08-28T00:00:00"/>
        <d v="2003-07-22T00:00:00"/>
        <d v="2002-03-05T00:00:00"/>
        <d v="1991-03-27T00:00:00"/>
        <d v="2004-03-01T00:00:00"/>
        <d v="1994-02-01T00:00:00"/>
        <d v="2009-03-06T00:00:00"/>
        <d v="1977-07-31T00:00:00"/>
        <d v="1994-06-18T00:00:00"/>
        <d v="2010-09-16T00:00:00"/>
        <d v="1991-03-17T00:00:00"/>
        <d v="1975-04-04T00:00:00"/>
        <d v="1983-12-28T00:00:00"/>
        <d v="1978-07-07T00:00:00"/>
        <d v="1984-05-06T00:00:00"/>
        <d v="2002-03-30T00:00:00"/>
        <d v="1981-07-02T00:00:00"/>
        <d v="1990-10-28T00:00:00"/>
        <d v="2010-07-29T00:00:00"/>
        <d v="2010-04-20T00:00:00"/>
        <d v="2009-10-16T00:00:00"/>
        <d v="2004-12-16T00:00:00"/>
        <d v="1992-02-27T00:00:00"/>
        <d v="1977-03-30T00:00:00"/>
        <d v="1981-05-27T00:00:00"/>
        <d v="1989-11-17T00:00:00"/>
        <d v="2003-03-19T00:00:00"/>
        <d v="1997-04-26T00:00:00"/>
        <d v="1993-08-20T00:00:00"/>
        <d v="2003-05-19T00:00:00"/>
        <d v="2009-06-30T00:00:00"/>
        <d v="2004-09-18T00:00:00"/>
        <d v="1988-04-10T00:00:00"/>
        <d v="1993-04-07T00:00:00"/>
        <d v="2010-02-25T00:00:00"/>
        <d v="1984-05-28T00:00:00"/>
        <d v="2002-03-07T00:00:00"/>
        <d v="2008-03-19T00:00:00"/>
        <d v="1975-03-11T00:00:00"/>
        <d v="2010-06-21T00:00:00"/>
        <d v="2010-08-20T00:00:00"/>
        <d v="1988-03-17T00:00:00"/>
        <d v="1988-03-22T00:00:00"/>
        <d v="1998-06-29T00:00:00"/>
        <d v="2005-06-27T00:00:00"/>
        <d v="1995-02-02T00:00:00"/>
        <d v="1997-09-25T00:00:00"/>
        <d v="1977-07-22T00:00:00"/>
        <d v="1985-03-16T00:00:00"/>
        <d v="1977-08-27T00:00:00"/>
        <d v="2004-02-01T00:00:00"/>
        <d v="2004-08-30T00:00:00"/>
        <d v="2002-02-02T00:00:00"/>
        <d v="2002-06-03T00:00:00"/>
        <d v="2000-03-19T00:00:00"/>
        <d v="2006-12-22T00:00:00"/>
        <d v="1995-01-27T00:00:00"/>
        <d v="1987-11-24T00:00:00"/>
        <d v="2004-01-29T00:00:00"/>
        <d v="1995-05-22T00:00:00"/>
        <d v="1992-09-19T00:00:00"/>
        <d v="1981-10-15T00:00:00"/>
        <d v="2010-10-05T00:00:00"/>
        <d v="1988-11-28T00:00:00"/>
        <d v="1981-07-29T00:00:00"/>
        <d v="1987-08-22T00:00:00"/>
        <d v="1975-07-05T00:00:00"/>
        <d v="1977-07-27T00:00:00"/>
        <d v="1975-03-17T00:00:00"/>
        <d v="2005-09-22T00:00:00"/>
        <d v="1976-02-24T00:00:00"/>
        <d v="2001-01-29T00:00:00"/>
        <d v="2000-11-18T00:00:00"/>
        <d v="2010-11-25T00:00:00"/>
        <d v="1976-06-20T00:00:00"/>
        <d v="1996-12-20T00:00:00"/>
        <d v="2010-02-16T00:00:00"/>
        <d v="2010-07-14T00:00:00"/>
        <d v="2006-10-16T00:00:00"/>
        <d v="1985-09-18T00:00:00"/>
        <d v="1975-03-24T00:00:00"/>
        <d v="2012-04-17T00:00:00"/>
        <d v="1987-02-28T00:00:00"/>
        <d v="1987-11-12T00:00:00"/>
        <d v="2011-09-08T00:00:00"/>
        <d v="1992-10-23T00:00:00"/>
        <d v="1985-07-11T00:00:00"/>
        <d v="2012-06-09T00:00:00"/>
        <d v="2001-08-15T00:00:00"/>
        <d v="1979-04-24T00:00:00"/>
        <d v="1985-02-09T00:00:00"/>
        <d v="2010-03-26T00:00:00"/>
        <d v="1994-08-05T00:00:00"/>
        <d v="2009-01-06T00:00:00"/>
        <d v="2012-08-31T00:00:00"/>
        <d v="1978-09-29T00:00:00"/>
        <d v="1975-05-25T00:00:00"/>
        <d v="1980-12-20T00:00:00"/>
        <d v="2005-02-18T00:00:00"/>
        <d v="1982-05-29T00:00:00"/>
        <d v="1978-03-21T00:00:00"/>
        <d v="2006-06-20T00:00:00"/>
        <d v="1983-01-02T00:00:00"/>
        <d v="2005-09-11T00:00:00"/>
        <d v="2007-08-21T00:00:00"/>
        <d v="1997-03-26T00:00:00"/>
        <d v="1999-01-22T00:00:00"/>
        <d v="2001-07-18T00:00:00"/>
        <d v="1989-01-01T00:00:00"/>
        <d v="1985-12-14T00:00:00"/>
        <d v="1975-04-11T00:00:00"/>
        <d v="1990-06-16T00:00:00"/>
        <d v="1978-01-12T00:00:00"/>
        <d v="1979-06-18T00:00:00"/>
        <d v="1979-03-05T00:00:00"/>
        <d v="1975-04-08T00:00:00"/>
        <d v="2005-10-05T00:00:00"/>
        <d v="2000-07-30T00:00:00"/>
        <d v="2000-09-30T00:00:00"/>
        <d v="1993-07-30T00:00:00"/>
        <d v="1976-10-01T00:00:00"/>
        <d v="2007-03-05T00:00:00"/>
        <d v="1993-03-26T00:00:00"/>
        <d v="2001-10-22T00:00:00"/>
        <d v="1986-11-23T00:00:00"/>
        <d v="1985-08-24T00:00:00"/>
        <d v="2010-09-29T00:00:00"/>
        <d v="2005-09-10T00:00:00"/>
        <d v="1997-07-21T00:00:00"/>
        <d v="1989-04-08T00:00:00"/>
        <d v="2005-01-09T00:00:00"/>
        <d v="2003-06-25T00:00:00"/>
        <d v="2003-10-27T00:00:00"/>
        <d v="2005-01-03T00:00:00"/>
        <d v="1981-10-31T00:00:00"/>
        <d v="2006-08-02T00:00:00"/>
        <d v="1975-08-16T00:00:00"/>
        <d v="2007-10-11T00:00:00"/>
        <d v="1997-08-06T00:00:00"/>
        <d v="2000-09-17T00:00:00"/>
        <d v="1987-04-19T00:00:00"/>
        <d v="2000-08-17T00:00:00"/>
        <d v="1995-11-14T00:00:00"/>
        <d v="2006-08-27T00:00:00"/>
        <d v="2006-06-21T00:00:00"/>
        <d v="1992-05-28T00:00:00"/>
        <d v="1983-10-27T00:00:00"/>
        <d v="2003-04-14T00:00:00"/>
        <d v="1985-12-18T00:00:00"/>
        <d v="1979-03-28T00:00:00"/>
        <d v="2001-12-21T00:00:00"/>
        <d v="2007-05-08T00:00:00"/>
        <d v="1992-05-24T00:00:00"/>
        <d v="1980-10-02T00:00:00"/>
        <d v="1977-05-27T00:00:00"/>
        <d v="1981-03-19T00:00:00"/>
        <d v="1976-07-05T00:00:00"/>
        <d v="1992-07-30T00:00:00"/>
        <d v="1987-02-06T00:00:00"/>
        <d v="1988-05-12T00:00:00"/>
        <d v="2001-12-03T00:00:00"/>
        <d v="1987-10-07T00:00:00"/>
        <d v="1985-03-01T00:00:00"/>
        <d v="1976-12-28T00:00:00"/>
        <d v="1975-01-12T00:00:00"/>
        <d v="1996-12-27T00:00:00"/>
        <d v="1980-04-03T00:00:00"/>
        <d v="2011-06-09T00:00:00"/>
        <d v="2010-04-02T00:00:00"/>
        <d v="1999-04-25T00:00:00"/>
        <d v="1992-02-03T00:00:00"/>
        <d v="1994-10-15T00:00:00"/>
        <d v="1983-01-24T00:00:00"/>
        <d v="2003-06-01T00:00:00"/>
        <d v="1999-07-06T00:00:00"/>
        <d v="2002-12-16T00:00:00"/>
        <d v="2010-12-21T00:00:00"/>
        <d v="1976-06-08T00:00:00"/>
        <d v="2004-01-23T00:00:00"/>
        <d v="1982-06-12T00:00:00"/>
        <d v="2004-04-19T00:00:00"/>
        <d v="1998-05-05T00:00:00"/>
        <d v="1982-04-24T00:00:00"/>
        <d v="2007-07-26T00:00:00"/>
        <d v="1998-05-04T00:00:00"/>
        <d v="1983-09-02T00:00:00"/>
        <d v="1988-10-09T00:00:00"/>
        <d v="2000-12-30T00:00:00"/>
        <d v="1994-05-09T00:00:00"/>
        <d v="1990-04-09T00:00:00"/>
        <d v="1981-03-27T00:00:00"/>
        <d v="2011-07-09T00:00:00"/>
        <d v="2001-04-14T00:00:00"/>
        <d v="1979-01-03T00:00:00"/>
        <d v="1982-01-23T00:00:00"/>
        <d v="1988-12-28T00:00:00"/>
        <d v="1998-08-02T00:00:00"/>
        <d v="2003-10-28T00:00:00"/>
        <d v="1992-04-06T00:00:00"/>
        <d v="1993-07-02T00:00:00"/>
        <d v="1995-06-28T00:00:00"/>
        <d v="1990-02-08T00:00:00"/>
        <d v="1980-07-20T00:00:00"/>
        <d v="1975-12-28T00:00:00"/>
        <d v="1988-03-06T00:00:00"/>
        <d v="2008-02-29T00:00:00"/>
        <d v="2009-12-28T00:00:00"/>
        <d v="1988-09-27T00:00:00"/>
        <d v="1984-05-18T00:00:00"/>
        <d v="1992-06-01T00:00:00"/>
        <d v="2012-01-23T00:00:00"/>
        <d v="1998-04-22T00:00:00"/>
        <d v="2000-11-03T00:00:00"/>
        <d v="1998-06-19T00:00:00"/>
        <d v="1994-07-14T00:00:00"/>
        <d v="1995-02-19T00:00:00"/>
        <d v="1977-07-03T00:00:00"/>
        <d v="2011-09-21T00:00:00"/>
        <d v="2002-09-30T00:00:00"/>
        <d v="1991-06-30T00:00:00"/>
        <d v="1997-08-13T00:00:00"/>
        <d v="1989-08-06T00:00:00"/>
        <d v="2003-02-22T00:00:00"/>
        <d v="1984-06-13T00:00:00"/>
        <d v="2009-07-02T00:00:00"/>
        <d v="2000-11-21T00:00:00"/>
        <d v="1975-03-02T00:00:00"/>
        <d v="1982-04-13T00:00:00"/>
        <d v="1997-10-04T00:00:00"/>
        <d v="1983-09-04T00:00:00"/>
        <d v="2002-03-22T00:00:00"/>
        <d v="1988-05-16T00:00:00"/>
        <d v="1998-08-11T00:00:00"/>
        <d v="2005-10-07T00:00:00"/>
        <d v="1986-10-10T00:00:00"/>
        <d v="1985-08-18T00:00:00"/>
        <d v="1981-07-18T00:00:00"/>
        <d v="1985-10-08T00:00:00"/>
        <d v="2003-07-02T00:00:00"/>
        <d v="1985-06-18T00:00:00"/>
        <d v="1988-11-21T00:00:00"/>
        <d v="1988-10-30T00:00:00"/>
        <d v="1993-03-02T00:00:00"/>
        <d v="2009-05-31T00:00:00"/>
        <d v="1980-06-05T00:00:00"/>
        <d v="1987-02-13T00:00:00"/>
        <d v="1992-05-13T00:00:00"/>
        <d v="2007-09-16T00:00:00"/>
        <d v="1987-07-27T00:00:00"/>
        <d v="1999-02-05T00:00:00"/>
        <d v="1992-05-02T00:00:00"/>
        <d v="1980-05-14T00:00:00"/>
        <d v="1987-06-28T00:00:00"/>
        <d v="2007-02-25T00:00:00"/>
        <d v="1990-06-27T00:00:00"/>
        <d v="2003-09-24T00:00:00"/>
        <d v="1980-06-04T00:00:00"/>
        <d v="1996-02-26T00:00:00"/>
        <d v="2001-07-09T00:00:00"/>
        <d v="1995-05-09T00:00:00"/>
        <d v="1996-01-05T00:00:00"/>
        <d v="2003-05-25T00:00:00"/>
        <d v="1978-10-10T00:00:00"/>
        <d v="1991-08-26T00:00:00"/>
        <d v="1984-12-16T00:00:00"/>
        <d v="1998-12-14T00:00:00"/>
        <d v="1995-07-29T00:00:00"/>
        <d v="1990-10-13T00:00:00"/>
        <d v="1984-08-22T00:00:00"/>
        <d v="2010-03-07T00:00:00"/>
        <d v="1981-06-02T00:00:00"/>
        <d v="1998-07-25T00:00:00"/>
        <d v="1978-12-06T00:00:00"/>
        <d v="1998-08-28T00:00:00"/>
        <d v="1998-06-12T00:00:00"/>
        <d v="2008-01-12T00:00:00"/>
        <d v="1975-06-09T00:00:00"/>
        <d v="1998-09-03T00:00:00"/>
        <d v="2005-03-17T00:00:00"/>
        <d v="1990-06-11T00:00:00"/>
        <d v="2012-09-12T00:00:00"/>
        <d v="1998-02-06T00:00:00"/>
        <d v="1985-05-18T00:00:00"/>
        <d v="1983-08-28T00:00:00"/>
        <d v="2007-05-14T00:00:00"/>
        <d v="1995-10-27T00:00:00"/>
        <d v="1986-11-13T00:00:00"/>
        <d v="1991-06-18T00:00:00"/>
        <d v="1979-06-28T00:00:00"/>
        <d v="2007-03-09T00:00:00"/>
        <d v="1994-11-14T00:00:00"/>
        <d v="2004-10-11T00:00:00"/>
        <d v="2007-06-21T00:00:00"/>
        <d v="2007-12-04T00:00:00"/>
        <d v="2009-08-09T00:00:00"/>
        <d v="1997-04-05T00:00:00"/>
        <d v="1998-06-11T00:00:00"/>
        <d v="2002-09-28T00:00:00"/>
        <d v="2001-12-23T00:00:00"/>
        <d v="2004-12-19T00:00:00"/>
        <d v="1979-04-01T00:00:00"/>
        <d v="1980-08-27T00:00:00"/>
        <d v="1984-12-09T00:00:00"/>
        <d v="1993-10-26T00:00:00"/>
        <d v="1995-01-01T00:00:00"/>
        <d v="1994-12-26T00:00:00"/>
        <d v="1988-01-12T00:00:00"/>
        <d v="2007-11-02T00:00:00"/>
        <d v="1975-09-25T00:00:00"/>
        <d v="2004-11-26T00:00:00"/>
        <d v="1978-02-27T00:00:00"/>
        <d v="1998-01-09T00:00:00"/>
        <d v="1990-05-21T00:00:00"/>
        <d v="1987-04-18T00:00:00"/>
        <d v="2002-04-02T00:00:00"/>
        <d v="1983-05-03T00:00:00"/>
        <d v="1985-07-09T00:00:00"/>
        <d v="2010-05-02T00:00:00"/>
        <d v="2008-07-22T00:00:00"/>
        <d v="1993-04-19T00:00:00"/>
        <d v="1998-12-06T00:00:00"/>
        <d v="1993-07-16T00:00:00"/>
        <d v="1994-01-10T00:00:00"/>
        <d v="1977-01-28T00:00:00"/>
        <d v="1995-04-29T00:00:00"/>
        <d v="1981-04-20T00:00:00"/>
        <d v="2001-05-02T00:00:00"/>
        <d v="1997-08-23T00:00:00"/>
        <d v="1990-02-22T00:00:00"/>
        <d v="2011-12-20T00:00:00"/>
        <d v="1987-09-27T00:00:00"/>
        <d v="1986-03-24T00:00:00"/>
        <d v="1994-05-17T00:00:00"/>
        <d v="1998-11-11T00:00:00"/>
        <d v="1975-02-23T00:00:00"/>
        <d v="1989-04-11T00:00:00"/>
        <d v="1982-12-05T00:00:00"/>
        <d v="1991-04-09T00:00:00"/>
        <d v="1997-07-13T00:00:00"/>
        <d v="2006-07-23T00:00:00"/>
        <d v="2006-06-24T00:00:00"/>
        <d v="1994-04-09T00:00:00"/>
        <d v="1985-06-16T00:00:00"/>
        <d v="1994-03-25T00:00:00"/>
        <d v="1999-01-10T00:00:00"/>
        <d v="2008-05-19T00:00:00"/>
        <d v="1993-12-26T00:00:00"/>
        <d v="1983-03-19T00:00:00"/>
        <d v="1986-02-14T00:00:00"/>
        <d v="1978-03-02T00:00:00"/>
        <d v="1995-12-20T00:00:00"/>
        <d v="2009-06-23T00:00:00"/>
        <d v="1999-06-01T00:00:00"/>
        <d v="2006-04-22T00:00:00"/>
        <d v="1986-09-20T00:00:00"/>
        <d v="2001-10-29T00:00:00"/>
        <d v="1980-01-13T00:00:00"/>
        <d v="2010-01-27T00:00:00"/>
        <d v="1983-01-28T00:00:00"/>
        <d v="1990-06-21T00:00:00"/>
        <d v="1998-10-07T00:00:00"/>
        <d v="1976-04-23T00:00:00"/>
        <d v="1979-01-02T00:00:00"/>
        <d v="2003-11-18T00:00:00"/>
        <d v="1991-08-03T00:00:00"/>
        <d v="2001-04-04T00:00:00"/>
        <d v="2002-03-09T00:00:00"/>
        <d v="1980-10-31T00:00:00"/>
        <d v="2010-03-23T00:00:00"/>
        <d v="2000-07-25T00:00:00"/>
        <d v="1979-03-26T00:00:00"/>
        <d v="2005-07-27T00:00:00"/>
        <d v="1998-03-17T00:00:00"/>
        <d v="1996-05-03T00:00:00"/>
        <d v="1979-03-31T00:00:00"/>
        <d v="1975-09-16T00:00:00"/>
        <d v="1998-02-22T00:00:00"/>
        <d v="1981-04-25T00:00:00"/>
        <d v="1991-10-08T00:00:00"/>
        <d v="1996-06-14T00:00:00"/>
        <d v="1975-07-18T00:00:00"/>
        <d v="2007-11-19T00:00:00"/>
        <d v="1984-11-15T00:00:00"/>
        <d v="2012-07-22T00:00:00"/>
        <d v="1984-03-30T00:00:00"/>
        <d v="1979-12-03T00:00:00"/>
        <d v="2012-09-19T00:00:00"/>
        <d v="1981-08-07T00:00:00"/>
        <d v="1995-09-22T00:00:00"/>
        <d v="2005-10-14T00:00:00"/>
        <d v="2005-03-14T00:00:00"/>
        <d v="2010-11-29T00:00:00"/>
        <d v="2007-10-19T00:00:00"/>
        <d v="2000-12-01T00:00:00"/>
        <d v="1989-05-02T00:00:00"/>
        <d v="1997-07-09T00:00:00"/>
        <d v="1977-05-24T00:00:00"/>
        <d v="1979-09-18T00:00:00"/>
        <d v="1997-03-21T00:00:00"/>
        <d v="2005-03-23T00:00:00"/>
        <d v="1988-01-16T00:00:00"/>
        <d v="2000-12-23T00:00:00"/>
        <d v="1999-05-03T00:00:00"/>
        <d v="2001-05-13T00:00:00"/>
        <d v="2002-10-23T00:00:00"/>
        <d v="1975-10-30T00:00:00"/>
        <d v="2007-06-28T00:00:00"/>
        <d v="2010-11-26T00:00:00"/>
        <d v="1991-09-12T00:00:00"/>
        <d v="1993-03-01T00:00:00"/>
        <d v="2000-03-03T00:00:00"/>
        <d v="1994-01-12T00:00:00"/>
        <d v="2009-07-17T00:00:00"/>
        <d v="1997-04-07T00:00:00"/>
        <d v="2008-01-07T00:00:00"/>
        <d v="1990-08-20T00:00:00"/>
        <d v="1998-07-30T00:00:00"/>
        <d v="2004-09-13T00:00:00"/>
        <d v="1979-04-17T00:00:00"/>
        <d v="1993-06-10T00:00:00"/>
        <d v="1976-09-28T00:00:00"/>
        <d v="1985-08-29T00:00:00"/>
        <d v="1996-01-31T00:00:00"/>
        <d v="2006-09-25T00:00:00"/>
        <d v="1988-03-25T00:00:00"/>
        <d v="1997-12-18T00:00:00"/>
        <d v="1980-06-26T00:00:00"/>
        <d v="2012-08-18T00:00:00"/>
        <d v="2000-02-12T00:00:00"/>
        <d v="1976-09-04T00:00:00"/>
        <d v="2011-10-11T00:00:00"/>
        <d v="1995-08-03T00:00:00"/>
        <d v="2012-09-21T00:00:00"/>
        <d v="1987-06-02T00:00:00"/>
        <d v="2003-11-04T00:00:00"/>
        <d v="2002-09-08T00:00:00"/>
        <d v="2011-05-04T00:00:00"/>
        <d v="1989-07-31T00:00:00"/>
        <d v="2006-08-31T00:00:00"/>
        <d v="1988-09-21T00:00:00"/>
        <d v="1986-11-05T00:00:00"/>
        <d v="1986-12-14T00:00:00"/>
        <d v="1978-01-19T00:00:00"/>
        <d v="1985-05-27T00:00:00"/>
        <d v="1985-04-20T00:00:00"/>
        <d v="1987-03-26T00:00:00"/>
        <d v="1975-11-26T00:00:00"/>
        <d v="1978-08-08T00:00:00"/>
        <d v="1979-07-13T00:00:00"/>
        <d v="1981-09-23T00:00:00"/>
        <d v="1986-10-09T00:00:00"/>
        <d v="2008-06-20T00:00:00"/>
        <d v="2007-03-15T00:00:00"/>
        <d v="1982-03-19T00:00:00"/>
        <d v="1991-07-05T00:00:00"/>
        <d v="1979-11-24T00:00:00"/>
        <d v="1989-08-26T00:00:00"/>
        <d v="1993-07-21T00:00:00"/>
        <d v="1983-11-16T00:00:00"/>
        <d v="1975-04-20T00:00:00"/>
        <d v="2008-07-26T00:00:00"/>
        <d v="1997-04-19T00:00:00"/>
        <d v="1975-03-30T00:00:00"/>
        <d v="1991-03-09T00:00:00"/>
        <d v="2008-06-10T00:00:00"/>
        <d v="2002-11-24T00:00:00"/>
        <d v="1983-04-02T00:00:00"/>
        <d v="1988-10-22T00:00:00"/>
        <d v="2006-07-29T00:00:00"/>
        <d v="1975-09-09T00:00:00"/>
        <d v="1980-08-22T00:00:00"/>
        <d v="1994-01-26T00:00:00"/>
        <d v="1995-10-21T00:00:00"/>
        <d v="1997-11-09T00:00:00"/>
        <d v="1991-11-13T00:00:00"/>
        <d v="1998-03-16T00:00:00"/>
        <d v="2004-12-08T00:00:00"/>
        <d v="2009-06-28T00:00:00"/>
        <d v="1993-08-29T00:00:00"/>
        <d v="1984-10-22T00:00:00"/>
        <d v="1980-11-21T00:00:00"/>
        <d v="1998-07-23T00:00:00"/>
        <d v="2009-05-04T00:00:00"/>
        <d v="1991-05-13T00:00:00"/>
        <d v="1978-07-25T00:00:00"/>
        <d v="1975-12-22T00:00:00"/>
        <d v="2009-11-05T00:00:00"/>
        <d v="1985-11-28T00:00:00"/>
        <d v="1979-10-17T00:00:00"/>
        <d v="1984-11-19T00:00:00"/>
        <d v="1975-04-28T00:00:00"/>
        <d v="2007-04-03T00:00:00"/>
        <d v="1989-02-20T00:00:00"/>
        <d v="1979-02-18T00:00:00"/>
        <d v="1995-02-23T00:00:00"/>
        <d v="1982-09-29T00:00:00"/>
        <d v="2006-05-09T00:00:00"/>
        <d v="1988-05-20T00:00:00"/>
        <d v="1990-07-20T00:00:00"/>
        <d v="1987-12-04T00:00:00"/>
        <d v="1979-05-08T00:00:00"/>
        <d v="1981-07-25T00:00:00"/>
        <d v="2008-08-09T00:00:00"/>
        <d v="1985-06-28T00:00:00"/>
        <d v="1987-09-01T00:00:00"/>
        <d v="2000-01-17T00:00:00"/>
        <d v="1986-10-27T00:00:00"/>
        <d v="1976-01-20T00:00:00"/>
        <d v="2000-04-22T00:00:00"/>
        <d v="1983-10-10T00:00:00"/>
        <d v="1976-04-24T00:00:00"/>
        <d v="2011-03-26T00:00:00"/>
        <d v="1980-10-30T00:00:00"/>
        <d v="2002-10-07T00:00:00"/>
        <d v="2003-10-02T00:00:00"/>
        <d v="1995-06-19T00:00:00"/>
        <d v="1985-02-07T00:00:00"/>
        <d v="2007-08-08T00:00:00"/>
        <d v="2003-07-25T00:00:00"/>
        <d v="1996-03-05T00:00:00"/>
        <d v="1987-03-27T00:00:00"/>
        <d v="1997-10-13T00:00:00"/>
        <d v="1999-12-22T00:00:00"/>
        <d v="2005-12-03T00:00:00"/>
        <d v="1998-01-07T00:00:00"/>
        <d v="2001-06-15T00:00:00"/>
        <d v="2005-11-02T00:00:00"/>
        <d v="1999-10-07T00:00:00"/>
        <d v="2007-04-06T00:00:00"/>
        <d v="1999-08-17T00:00:00"/>
        <d v="1976-11-06T00:00:00"/>
        <d v="1999-07-25T00:00:00"/>
        <d v="2010-07-16T00:00:00"/>
        <d v="2010-10-02T00:00:00"/>
        <d v="2000-07-26T00:00:00"/>
        <d v="1998-09-22T00:00:00"/>
        <d v="2002-05-28T00:00:00"/>
        <d v="2012-09-15T00:00:00"/>
        <d v="2010-09-13T00:00:00"/>
        <d v="2006-08-22T00:00:00"/>
        <d v="1997-10-25T00:00:00"/>
        <d v="1978-01-01T00:00:00"/>
        <d v="1996-07-22T00:00:00"/>
        <d v="2011-09-24T00:00:00"/>
        <d v="1984-06-15T00:00:00"/>
        <d v="1999-01-01T00:00:00"/>
        <d v="2006-10-15T00:00:00"/>
        <d v="1977-06-17T00:00:00"/>
        <d v="2009-12-05T00:00:00"/>
        <d v="1985-12-07T00:00:00"/>
        <d v="1992-10-12T00:00:00"/>
        <d v="2011-03-27T00:00:00"/>
        <d v="1982-11-23T00:00:00"/>
        <d v="1976-03-12T00:00:00"/>
        <d v="1988-11-30T00:00:00"/>
        <d v="1985-04-07T00:00:00"/>
        <d v="2001-01-16T00:00:00"/>
        <d v="1985-06-11T00:00:00"/>
        <d v="1977-01-08T00:00:00"/>
        <d v="2009-11-17T00:00:00"/>
        <d v="2010-04-14T00:00:00"/>
        <d v="1983-02-26T00:00:00"/>
        <d v="1980-06-13T00:00:00"/>
        <d v="2000-05-16T00:00:00"/>
        <d v="1984-11-21T00:00:00"/>
        <d v="1987-01-11T00:00:00"/>
        <d v="1999-08-20T00:00:00"/>
        <d v="1986-11-21T00:00:00"/>
        <d v="1989-10-27T00:00:00"/>
        <d v="1975-06-05T00:00:00"/>
        <d v="2005-12-25T00:00:00"/>
        <d v="1981-08-15T00:00:00"/>
        <d v="1994-05-04T00:00:00"/>
        <d v="2011-08-05T00:00:00"/>
        <d v="2011-05-02T00:00:00"/>
        <d v="1979-08-28T00:00:00"/>
        <d v="1996-05-06T00:00:00"/>
        <d v="2007-11-30T00:00:00"/>
        <d v="1987-12-14T00:00:00"/>
        <d v="2005-01-29T00:00:00"/>
        <d v="1997-07-24T00:00:00"/>
        <d v="2000-08-02T00:00:00"/>
        <d v="2002-03-11T00:00:00"/>
        <d v="1975-03-21T00:00:00"/>
        <d v="2009-05-06T00:00:00"/>
        <d v="1988-12-13T00:00:00"/>
        <d v="2000-10-14T00:00:00"/>
        <d v="1983-09-05T00:00:00"/>
        <d v="1988-06-18T00:00:00"/>
        <d v="1989-02-16T00:00:00"/>
        <d v="1991-11-30T00:00:00"/>
        <d v="1985-06-13T00:00:00"/>
        <d v="1996-06-16T00:00:00"/>
        <d v="1983-11-25T00:00:00"/>
        <d v="2005-08-19T00:00:00"/>
        <d v="1983-03-20T00:00:00"/>
        <d v="1999-12-08T00:00:00"/>
        <d v="1986-11-06T00:00:00"/>
        <d v="1981-08-19T00:00:00"/>
        <d v="1981-06-06T00:00:00"/>
        <d v="1995-08-02T00:00:00"/>
        <d v="1980-02-07T00:00:00"/>
        <d v="1996-11-28T00:00:00"/>
        <d v="1990-01-20T00:00:00"/>
        <d v="2006-02-17T00:00:00"/>
        <d v="1994-07-29T00:00:00"/>
        <d v="2005-06-12T00:00:00"/>
        <d v="1997-09-03T00:00:00"/>
        <d v="1977-07-15T00:00:00"/>
        <d v="1982-10-12T00:00:00"/>
        <d v="1990-06-17T00:00:00"/>
        <d v="1985-06-06T00:00:00"/>
        <d v="2001-03-17T00:00:00"/>
        <d v="1985-07-10T00:00:00"/>
        <d v="2008-05-24T00:00:00"/>
        <d v="1991-06-20T00:00:00"/>
        <d v="1977-01-24T00:00:00"/>
        <d v="1991-02-05T00:00:00"/>
        <d v="1982-12-16T00:00:00"/>
        <d v="1988-03-16T00:00:00"/>
        <d v="2003-11-09T00:00:00"/>
        <d v="2005-06-25T00:00:00"/>
        <d v="2009-04-06T00:00:00"/>
        <d v="1997-08-27T00:00:00"/>
        <d v="1992-12-08T00:00:00"/>
        <d v="2004-10-02T00:00:00"/>
        <d v="2011-05-01T00:00:00"/>
        <d v="2007-08-01T00:00:00"/>
        <d v="1980-10-25T00:00:00"/>
        <d v="1981-09-01T00:00:00"/>
        <d v="2012-07-21T00:00:00"/>
        <d v="1975-04-26T00:00:00"/>
        <d v="1991-07-02T00:00:00"/>
        <d v="1995-10-30T00:00:00"/>
        <d v="1990-12-09T00:00:00"/>
        <d v="2008-05-08T00:00:00"/>
        <d v="1983-05-09T00:00:00"/>
        <d v="2003-12-30T00:00:00"/>
        <d v="1997-11-05T00:00:00"/>
        <d v="2005-08-10T00:00:00"/>
        <d v="1981-05-15T00:00:00"/>
        <d v="1983-08-20T00:00:00"/>
        <d v="1978-11-22T00:00:00"/>
        <d v="2009-10-22T00:00:00"/>
        <d v="1978-03-17T00:00:00"/>
        <d v="1989-07-13T00:00:00"/>
        <d v="1995-07-31T00:00:00"/>
        <d v="1997-09-01T00:00:00"/>
        <d v="1988-06-27T00:00:00"/>
        <d v="1995-01-30T00:00:00"/>
        <d v="1988-06-26T00:00:00"/>
        <d v="1988-04-18T00:00:00"/>
        <d v="2012-03-09T00:00:00"/>
        <d v="1980-04-18T00:00:00"/>
        <d v="1978-05-27T00:00:00"/>
        <d v="1987-09-14T00:00:00"/>
        <d v="2000-01-21T00:00:00"/>
        <d v="1978-02-28T00:00:00"/>
        <d v="2004-01-12T00:00:00"/>
        <d v="1991-12-16T00:00:00"/>
        <d v="1997-11-22T00:00:00"/>
        <d v="1985-10-16T00:00:00"/>
        <d v="1979-09-19T00:00:00"/>
        <d v="2003-11-17T00:00:00"/>
        <d v="1976-04-13T00:00:00"/>
        <d v="1982-11-16T00:00:00"/>
        <d v="1999-12-27T00:00:00"/>
        <d v="1977-06-26T00:00:00"/>
        <d v="1982-05-14T00:00:00"/>
        <d v="1990-10-16T00:00:00"/>
        <d v="2000-04-19T00:00:00"/>
        <d v="1995-02-18T00:00:00"/>
        <d v="1994-10-06T00:00:00"/>
        <d v="1978-01-21T00:00:00"/>
        <d v="1988-03-02T00:00:00"/>
        <d v="1995-08-12T00:00:00"/>
        <d v="1990-08-27T00:00:00"/>
        <d v="1977-07-23T00:00:00"/>
        <d v="1997-11-10T00:00:00"/>
        <d v="1983-07-06T00:00:00"/>
        <d v="2006-05-20T00:00:00"/>
        <d v="1976-06-04T00:00:00"/>
        <d v="1999-07-20T00:00:00"/>
        <d v="1997-05-05T00:00:00"/>
        <d v="1989-11-20T00:00:00"/>
        <d v="1994-09-24T00:00:00"/>
        <d v="1994-03-19T00:00:00"/>
        <d v="2005-06-15T00:00:00"/>
        <d v="1975-06-22T00:00:00"/>
        <d v="1996-12-13T00:00:00"/>
        <d v="1986-08-06T00:00:00"/>
        <d v="1977-05-28T00:00:00"/>
        <d v="1985-08-31T00:00:00"/>
        <d v="2006-12-16T00:00:00"/>
        <d v="2003-11-14T00:00:00"/>
        <d v="2009-07-13T00:00:00"/>
        <d v="1986-08-18T00:00:00"/>
        <d v="1975-10-11T00:00:00"/>
        <d v="1995-10-19T00:00:00"/>
        <d v="1986-07-21T00:00:00"/>
        <d v="1975-07-30T00:00:00"/>
        <d v="1992-02-26T00:00:00"/>
        <d v="2006-02-28T00:00:00"/>
        <d v="2006-03-31T00:00:00"/>
        <d v="1984-06-21T00:00:00"/>
        <d v="1982-03-30T00:00:00"/>
        <d v="1996-09-27T00:00:00"/>
        <d v="2008-07-27T00:00:00"/>
        <d v="1999-11-22T00:00:00"/>
        <d v="2010-03-28T00:00:00"/>
        <d v="2003-11-08T00:00:00"/>
        <d v="1983-09-20T00:00:00"/>
        <d v="2000-12-24T00:00:00"/>
        <d v="1975-07-29T00:00:00"/>
        <d v="1978-12-24T00:00:00"/>
        <d v="1975-11-12T00:00:00"/>
        <d v="1995-09-16T00:00:00"/>
        <d v="1993-04-29T00:00:00"/>
        <d v="1995-03-12T00:00:00"/>
        <d v="1981-10-11T00:00:00"/>
        <d v="1995-01-05T00:00:00"/>
        <d v="1979-01-14T00:00:00"/>
        <d v="1994-11-10T00:00:00"/>
        <d v="2000-06-20T00:00:00"/>
        <d v="1985-04-18T00:00:00"/>
        <d v="1991-03-21T00:00:00"/>
        <d v="2007-08-23T00:00:00"/>
        <d v="1989-08-17T00:00:00"/>
        <d v="1985-07-13T00:00:00"/>
        <d v="1998-10-29T00:00:00"/>
        <d v="2010-03-21T00:00:00"/>
        <d v="1984-09-05T00:00:00"/>
        <d v="1999-04-06T00:00:00"/>
        <d v="1988-01-30T00:00:00"/>
        <d v="1999-12-16T00:00:00"/>
        <d v="1993-01-02T00:00:00"/>
        <d v="1992-09-03T00:00:00"/>
        <d v="1976-09-24T00:00:00"/>
        <d v="1979-03-18T00:00:00"/>
        <d v="2002-07-10T00:00:00"/>
        <d v="1984-12-08T00:00:00"/>
        <d v="1979-02-03T00:00:00"/>
        <d v="2007-04-29T00:00:00"/>
        <d v="1989-10-13T00:00:00"/>
        <d v="1991-07-09T00:00:00"/>
        <d v="2010-07-23T00:00:00"/>
        <d v="1984-05-26T00:00:00"/>
        <d v="2001-08-21T00:00:00"/>
        <d v="2010-01-16T00:00:00"/>
        <d v="2012-01-17T00:00:00"/>
        <d v="2009-05-07T00:00:00"/>
        <d v="2002-12-22T00:00:00"/>
        <d v="1995-02-05T00:00:00"/>
        <d v="2000-09-22T00:00:00"/>
        <d v="1995-04-14T00:00:00"/>
        <d v="2010-10-04T00:00:00"/>
        <d v="1975-06-21T00:00:00"/>
        <d v="1987-08-04T00:00:00"/>
        <d v="2005-03-20T00:00:00"/>
        <d v="2000-10-24T00:00:00"/>
        <d v="1990-07-19T00:00:00"/>
        <d v="2006-02-23T00:00:00"/>
        <d v="1997-08-28T00:00:00"/>
        <d v="1977-09-19T00:00:00"/>
        <d v="1993-11-25T00:00:00"/>
        <d v="1984-09-13T00:00:00"/>
        <d v="2004-03-21T00:00:00"/>
        <d v="1988-06-14T00:00:00"/>
        <d v="1987-11-06T00:00:00"/>
        <d v="1987-10-27T00:00:00"/>
        <d v="2008-03-27T00:00:00"/>
        <d v="2000-07-08T00:00:00"/>
        <d v="1988-05-27T00:00:00"/>
        <d v="1984-01-14T00:00:00"/>
        <d v="1984-03-14T00:00:00"/>
        <d v="2010-01-10T00:00:00"/>
        <d v="1991-08-29T00:00:00"/>
        <d v="1981-09-22T00:00:00"/>
        <d v="1976-07-28T00:00:00"/>
        <d v="2012-03-22T00:00:00"/>
        <d v="1985-01-23T00:00:00"/>
        <d v="1994-09-05T00:00:00"/>
        <d v="2000-06-07T00:00:00"/>
        <d v="1977-08-19T00:00:00"/>
        <d v="1989-11-26T00:00:00"/>
        <d v="1994-06-02T00:00:00"/>
        <d v="2001-04-12T00:00:00"/>
        <d v="2000-08-14T00:00:00"/>
        <d v="2011-06-28T00:00:00"/>
        <d v="2006-05-28T00:00:00"/>
        <d v="1979-07-23T00:00:00"/>
        <d v="1983-02-20T00:00:00"/>
        <d v="2011-02-04T00:00:00"/>
        <d v="1989-11-29T00:00:00"/>
        <d v="1981-09-05T00:00:00"/>
        <d v="1985-05-11T00:00:00"/>
        <d v="2011-08-16T00:00:00"/>
        <d v="2001-11-09T00:00:00"/>
        <d v="2001-03-13T00:00:00"/>
        <d v="1987-09-17T00:00:00"/>
        <d v="1994-11-07T00:00:00"/>
        <d v="2001-09-20T00:00:00"/>
        <d v="1997-03-28T00:00:00"/>
        <d v="2009-07-08T00:00:00"/>
        <d v="1983-02-25T00:00:00"/>
        <d v="2009-05-29T00:00:00"/>
        <d v="2010-12-06T00:00:00"/>
        <d v="1975-08-05T00:00:00"/>
        <d v="1992-10-11T00:00:00"/>
        <d v="1981-10-08T00:00:00"/>
        <d v="1991-06-21T00:00:00"/>
        <d v="1978-12-21T00:00:00"/>
        <d v="1981-03-08T00:00:00"/>
        <d v="1984-02-22T00:00:00"/>
        <d v="1993-09-29T00:00:00"/>
        <d v="1975-11-29T00:00:00"/>
        <d v="2003-02-14T00:00:00"/>
        <d v="2006-07-10T00:00:00"/>
        <d v="2000-03-27T00:00:00"/>
        <d v="1990-07-08T00:00:00"/>
        <d v="2001-10-31T00:00:00"/>
        <d v="2002-11-03T00:00:00"/>
        <d v="1982-03-09T00:00:00"/>
        <d v="1977-06-25T00:00:00"/>
        <d v="1979-12-10T00:00:00"/>
        <d v="1986-01-23T00:00:00"/>
        <d v="2010-08-27T00:00:00"/>
        <d v="2005-07-14T00:00:00"/>
        <d v="2010-03-25T00:00:00"/>
        <d v="2003-04-12T00:00:00"/>
        <d v="1993-02-23T00:00:00"/>
        <d v="1990-12-24T00:00:00"/>
        <d v="1995-12-21T00:00:00"/>
        <d v="2011-03-17T00:00:00"/>
        <d v="1981-04-27T00:00:00"/>
        <d v="2009-11-01T00:00:00"/>
        <d v="1988-02-23T00:00:00"/>
        <d v="1998-03-25T00:00:00"/>
        <d v="2011-05-25T00:00:00"/>
        <d v="1998-11-12T00:00:00"/>
        <d v="1978-05-19T00:00:00"/>
        <d v="2002-01-24T00:00:00"/>
        <d v="1993-11-21T00:00:00"/>
        <d v="1991-03-18T00:00:00"/>
        <d v="1995-11-13T00:00:00"/>
        <d v="1976-10-08T00:00:00"/>
        <d v="2008-10-13T00:00:00"/>
        <d v="2000-10-06T00:00:00"/>
        <d v="2008-05-02T00:00:00"/>
        <d v="1992-05-18T00:00:00"/>
        <d v="1992-01-22T00:00:00"/>
        <d v="2003-08-21T00:00:00"/>
        <d v="1987-10-03T00:00:00"/>
        <d v="1975-10-12T00:00:00"/>
        <d v="1981-12-16T00:00:00"/>
        <d v="1979-03-14T00:00:00"/>
        <d v="1977-07-29T00:00:00"/>
        <d v="1990-01-29T00:00:00"/>
        <d v="1997-10-07T00:00:00"/>
        <d v="1981-04-01T00:00:00"/>
        <d v="1991-08-12T00:00:00"/>
        <d v="1985-10-02T00:00:00"/>
        <d v="2007-01-29T00:00:00"/>
        <d v="1988-03-23T00:00:00"/>
        <d v="1984-09-22T00:00:00"/>
        <d v="2008-11-19T00:00:00"/>
        <d v="1984-10-05T00:00:00"/>
        <d v="2001-02-22T00:00:00"/>
        <d v="2006-05-07T00:00:00"/>
      </sharedItems>
    </cacheField>
    <cacheField name="Age" numFmtId="2">
      <sharedItems containsSemiMixedTypes="0" containsString="0" containsNumber="1" containsInteger="1" minValue="13" maxValue="51" count="39">
        <n v="29"/>
        <n v="48"/>
        <n v="43"/>
        <n v="46"/>
        <n v="45"/>
        <n v="17"/>
        <n v="32"/>
        <n v="22"/>
        <n v="26"/>
        <n v="28"/>
        <n v="37"/>
        <n v="36"/>
        <n v="38"/>
        <n v="39"/>
        <n v="15"/>
        <n v="40"/>
        <n v="34"/>
        <n v="16"/>
        <n v="21"/>
        <n v="23"/>
        <n v="44"/>
        <n v="49"/>
        <n v="42"/>
        <n v="20"/>
        <n v="18"/>
        <n v="31"/>
        <n v="30"/>
        <n v="50"/>
        <n v="47"/>
        <n v="24"/>
        <n v="25"/>
        <n v="19"/>
        <n v="35"/>
        <n v="41"/>
        <n v="33"/>
        <n v="14"/>
        <n v="51"/>
        <n v="13"/>
        <n v="27"/>
      </sharedItems>
    </cacheField>
    <cacheField name="Age2" numFmtId="0">
      <sharedItems containsSemiMixedTypes="0" containsString="0" containsNumber="1" containsInteger="1" minValue="12" maxValue="49"/>
    </cacheField>
    <cacheField name="abonoment_type" numFmtId="0">
      <sharedItems count="2">
        <s v="Premium"/>
        <s v="Standard"/>
      </sharedItems>
    </cacheField>
    <cacheField name="visit_per_week" numFmtId="0">
      <sharedItems containsSemiMixedTypes="0" containsString="0" containsNumber="1" containsInteger="1" minValue="1" maxValue="5" count="5">
        <n v="4"/>
        <n v="3"/>
        <n v="1"/>
        <n v="2"/>
        <n v="5"/>
      </sharedItems>
    </cacheField>
    <cacheField name="days_per_week" numFmtId="0">
      <sharedItems/>
    </cacheField>
    <cacheField name="Day 1" numFmtId="0">
      <sharedItems/>
    </cacheField>
    <cacheField name="Day 2" numFmtId="0">
      <sharedItems containsBlank="1"/>
    </cacheField>
    <cacheField name="Day 3" numFmtId="0">
      <sharedItems containsBlank="1"/>
    </cacheField>
    <cacheField name="Day 4" numFmtId="0">
      <sharedItems containsBlank="1"/>
    </cacheField>
    <cacheField name="Day 5" numFmtId="0">
      <sharedItems containsBlank="1"/>
    </cacheField>
    <cacheField name="attend_group_lesson" numFmtId="0">
      <sharedItems/>
    </cacheField>
    <cacheField name="fav_group_lesson" numFmtId="0">
      <sharedItems/>
    </cacheField>
    <cacheField name="fav_group_lesson1" numFmtId="0">
      <sharedItems containsBlank="1"/>
    </cacheField>
    <cacheField name="fav_group_lesson2" numFmtId="0">
      <sharedItems containsBlank="1"/>
    </cacheField>
    <cacheField name="fav_group_lesson3" numFmtId="0">
      <sharedItems containsBlank="1"/>
    </cacheField>
    <cacheField name="avg_time_check_in" numFmtId="164">
      <sharedItems containsSemiMixedTypes="0" containsNonDate="0" containsDate="1" containsString="0" minDate="1899-12-30T08:00:00" maxDate="1899-12-30T20:58:00"/>
    </cacheField>
    <cacheField name="avg_time_check_out" numFmtId="164">
      <sharedItems containsSemiMixedTypes="0" containsNonDate="0" containsDate="1" containsString="0" minDate="1899-12-30T08:47:00" maxDate="1899-12-30T23:49:00"/>
    </cacheField>
    <cacheField name="avg_time_in_gym" numFmtId="0">
      <sharedItems containsSemiMixedTypes="0" containsString="0" containsNumber="1" containsInteger="1" minValue="30" maxValue="180" count="151">
        <n v="116"/>
        <n v="48"/>
        <n v="123"/>
        <n v="99"/>
        <n v="50"/>
        <n v="180"/>
        <n v="62"/>
        <n v="95"/>
        <n v="92"/>
        <n v="144"/>
        <n v="36"/>
        <n v="33"/>
        <n v="158"/>
        <n v="61"/>
        <n v="145"/>
        <n v="161"/>
        <n v="119"/>
        <n v="167"/>
        <n v="149"/>
        <n v="146"/>
        <n v="154"/>
        <n v="160"/>
        <n v="112"/>
        <n v="102"/>
        <n v="118"/>
        <n v="114"/>
        <n v="91"/>
        <n v="81"/>
        <n v="130"/>
        <n v="98"/>
        <n v="86"/>
        <n v="159"/>
        <n v="79"/>
        <n v="135"/>
        <n v="107"/>
        <n v="58"/>
        <n v="142"/>
        <n v="175"/>
        <n v="87"/>
        <n v="136"/>
        <n v="137"/>
        <n v="93"/>
        <n v="82"/>
        <n v="69"/>
        <n v="162"/>
        <n v="71"/>
        <n v="30"/>
        <n v="122"/>
        <n v="68"/>
        <n v="35"/>
        <n v="57"/>
        <n v="147"/>
        <n v="170"/>
        <n v="43"/>
        <n v="165"/>
        <n v="54"/>
        <n v="177"/>
        <n v="166"/>
        <n v="88"/>
        <n v="52"/>
        <n v="103"/>
        <n v="163"/>
        <n v="125"/>
        <n v="84"/>
        <n v="49"/>
        <n v="173"/>
        <n v="66"/>
        <n v="106"/>
        <n v="94"/>
        <n v="53"/>
        <n v="126"/>
        <n v="77"/>
        <n v="172"/>
        <n v="117"/>
        <n v="140"/>
        <n v="42"/>
        <n v="169"/>
        <n v="40"/>
        <n v="156"/>
        <n v="104"/>
        <n v="178"/>
        <n v="56"/>
        <n v="67"/>
        <n v="143"/>
        <n v="108"/>
        <n v="151"/>
        <n v="73"/>
        <n v="85"/>
        <n v="83"/>
        <n v="100"/>
        <n v="174"/>
        <n v="37"/>
        <n v="109"/>
        <n v="65"/>
        <n v="105"/>
        <n v="131"/>
        <n v="70"/>
        <n v="110"/>
        <n v="150"/>
        <n v="47"/>
        <n v="176"/>
        <n v="64"/>
        <n v="138"/>
        <n v="115"/>
        <n v="168"/>
        <n v="32"/>
        <n v="78"/>
        <n v="34"/>
        <n v="133"/>
        <n v="72"/>
        <n v="41"/>
        <n v="31"/>
        <n v="59"/>
        <n v="141"/>
        <n v="38"/>
        <n v="39"/>
        <n v="120"/>
        <n v="153"/>
        <n v="89"/>
        <n v="128"/>
        <n v="179"/>
        <n v="132"/>
        <n v="44"/>
        <n v="51"/>
        <n v="97"/>
        <n v="75"/>
        <n v="96"/>
        <n v="60"/>
        <n v="76"/>
        <n v="124"/>
        <n v="164"/>
        <n v="74"/>
        <n v="171"/>
        <n v="101"/>
        <n v="121"/>
        <n v="113"/>
        <n v="139"/>
        <n v="80"/>
        <n v="55"/>
        <n v="45"/>
        <n v="90"/>
        <n v="129"/>
        <n v="155"/>
        <n v="63"/>
        <n v="127"/>
        <n v="134"/>
        <n v="148"/>
        <n v="157"/>
        <n v="111"/>
        <n v="46"/>
        <n v="152"/>
      </sharedItems>
    </cacheField>
    <cacheField name="drink_abo" numFmtId="0">
      <sharedItems/>
    </cacheField>
    <cacheField name="fav_drink" numFmtId="0">
      <sharedItems/>
    </cacheField>
    <cacheField name="fav_drink1" numFmtId="0">
      <sharedItems containsBlank="1"/>
    </cacheField>
    <cacheField name="fav_drink2" numFmtId="0">
      <sharedItems containsBlank="1"/>
    </cacheField>
    <cacheField name="personal_training" numFmtId="0">
      <sharedItems count="2">
        <b v="0"/>
        <b v="1"/>
      </sharedItems>
    </cacheField>
    <cacheField name="name_personal_trainer" numFmtId="0">
      <sharedItems count="5">
        <s v="No trainer"/>
        <s v="Chantal"/>
        <s v="Mike"/>
        <s v="Jeffrey"/>
        <s v="Hanna"/>
      </sharedItems>
    </cacheField>
    <cacheField name="uses_sauna" numFmtId="0">
      <sharedItems count="2">
        <b v="1"/>
        <b v="0"/>
      </sharedItems>
    </cacheField>
  </cacheFields>
  <extLst>
    <ext xmlns:x14="http://schemas.microsoft.com/office/spreadsheetml/2009/9/main" uri="{725AE2AE-9491-48be-B2B4-4EB974FC3084}">
      <x14:pivotCacheDefinition pivotCacheId="1068489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27"/>
    <x v="0"/>
    <x v="0"/>
    <s v="Mon, Sat, Tue, Wed"/>
    <s v="Mon"/>
    <s v="Sat"/>
    <s v="Tue"/>
    <s v="Wed"/>
    <m/>
    <b v="1"/>
    <s v="Kickboxen, BodyPump, Zumba"/>
    <s v="Kickboxen"/>
    <s v="BodyPump"/>
    <s v="Zumba"/>
    <d v="1899-12-30T19:31:00"/>
    <d v="1899-12-30T21:27:00"/>
    <x v="0"/>
    <b v="0"/>
    <s v=""/>
    <m/>
    <m/>
    <x v="0"/>
    <x v="0"/>
    <x v="0"/>
  </r>
  <r>
    <n v="2"/>
    <x v="0"/>
    <x v="1"/>
    <x v="1"/>
    <n v="47"/>
    <x v="1"/>
    <x v="1"/>
    <s v="Mon, Sat, Wed"/>
    <s v="Mon"/>
    <s v="Sat"/>
    <s v="Wed"/>
    <m/>
    <m/>
    <b v="0"/>
    <s v=""/>
    <m/>
    <m/>
    <m/>
    <d v="1899-12-30T19:31:00"/>
    <d v="1899-12-30T20:19:00"/>
    <x v="1"/>
    <b v="0"/>
    <s v=""/>
    <m/>
    <m/>
    <x v="1"/>
    <x v="1"/>
    <x v="1"/>
  </r>
  <r>
    <n v="3"/>
    <x v="1"/>
    <x v="2"/>
    <x v="2"/>
    <n v="41"/>
    <x v="0"/>
    <x v="2"/>
    <s v="Sat"/>
    <s v="Sat"/>
    <m/>
    <m/>
    <m/>
    <m/>
    <b v="1"/>
    <s v="XCore"/>
    <s v="XCore"/>
    <m/>
    <m/>
    <d v="1899-12-30T08:29:00"/>
    <d v="1899-12-30T10:32:00"/>
    <x v="2"/>
    <b v="1"/>
    <s v="berry_boost, lemon"/>
    <s v="berry_boost"/>
    <s v="lemon"/>
    <x v="1"/>
    <x v="2"/>
    <x v="1"/>
  </r>
  <r>
    <n v="4"/>
    <x v="1"/>
    <x v="3"/>
    <x v="3"/>
    <n v="44"/>
    <x v="0"/>
    <x v="1"/>
    <s v="Sat, Tue, Wed"/>
    <s v="Sat"/>
    <s v="Tue"/>
    <s v="Wed"/>
    <m/>
    <m/>
    <b v="0"/>
    <s v=""/>
    <m/>
    <m/>
    <m/>
    <d v="1899-12-30T09:54:00"/>
    <d v="1899-12-30T11:33:00"/>
    <x v="3"/>
    <b v="1"/>
    <s v="passion_fruit"/>
    <s v="passion_fruit"/>
    <m/>
    <x v="1"/>
    <x v="2"/>
    <x v="0"/>
  </r>
  <r>
    <n v="5"/>
    <x v="1"/>
    <x v="4"/>
    <x v="4"/>
    <n v="44"/>
    <x v="1"/>
    <x v="3"/>
    <s v="Thu, Wed"/>
    <s v="Thu"/>
    <s v="Wed"/>
    <m/>
    <m/>
    <m/>
    <b v="1"/>
    <s v="Running, Yoga, Zumba"/>
    <s v="Running"/>
    <s v="Yoga"/>
    <s v="Zumba"/>
    <d v="1899-12-30T08:29:00"/>
    <d v="1899-12-30T09:19:00"/>
    <x v="4"/>
    <b v="0"/>
    <s v=""/>
    <m/>
    <m/>
    <x v="1"/>
    <x v="2"/>
    <x v="1"/>
  </r>
  <r>
    <n v="6"/>
    <x v="0"/>
    <x v="5"/>
    <x v="5"/>
    <n v="15"/>
    <x v="1"/>
    <x v="2"/>
    <s v="Mon"/>
    <s v="Mon"/>
    <m/>
    <m/>
    <m/>
    <m/>
    <b v="0"/>
    <s v=""/>
    <m/>
    <m/>
    <m/>
    <d v="1899-12-30T17:19:00"/>
    <d v="1899-12-30T20:19:00"/>
    <x v="5"/>
    <b v="0"/>
    <s v=""/>
    <m/>
    <m/>
    <x v="0"/>
    <x v="0"/>
    <x v="0"/>
  </r>
  <r>
    <n v="7"/>
    <x v="1"/>
    <x v="6"/>
    <x v="6"/>
    <n v="30"/>
    <x v="0"/>
    <x v="1"/>
    <s v="Sat, Thu, Wed"/>
    <s v="Sat"/>
    <s v="Thu"/>
    <s v="Wed"/>
    <m/>
    <m/>
    <b v="1"/>
    <s v="LesMiles, BodyPump"/>
    <s v="LesMiles"/>
    <s v="BodyPump"/>
    <m/>
    <d v="1899-12-30T19:46:00"/>
    <d v="1899-12-30T20:48:00"/>
    <x v="6"/>
    <b v="0"/>
    <s v=""/>
    <m/>
    <m/>
    <x v="0"/>
    <x v="0"/>
    <x v="1"/>
  </r>
  <r>
    <n v="8"/>
    <x v="1"/>
    <x v="7"/>
    <x v="7"/>
    <n v="20"/>
    <x v="1"/>
    <x v="3"/>
    <s v="Mon, Wed"/>
    <s v="Mon"/>
    <s v="Wed"/>
    <m/>
    <m/>
    <m/>
    <b v="1"/>
    <s v="Yoga, XCore"/>
    <s v="Yoga"/>
    <s v="XCore"/>
    <m/>
    <d v="1899-12-30T17:45:00"/>
    <d v="1899-12-30T19:20:00"/>
    <x v="7"/>
    <b v="1"/>
    <s v="coconut_pineapple"/>
    <s v="coconut_pineapple"/>
    <m/>
    <x v="0"/>
    <x v="0"/>
    <x v="0"/>
  </r>
  <r>
    <n v="9"/>
    <x v="1"/>
    <x v="8"/>
    <x v="1"/>
    <n v="46"/>
    <x v="0"/>
    <x v="1"/>
    <s v="Sat, Sun, Thu"/>
    <s v="Sat"/>
    <s v="Sun"/>
    <s v="Thu"/>
    <m/>
    <m/>
    <b v="1"/>
    <s v="BodyPump"/>
    <s v="BodyPump"/>
    <m/>
    <m/>
    <d v="1899-12-30T09:45:00"/>
    <d v="1899-12-30T11:17:00"/>
    <x v="8"/>
    <b v="1"/>
    <s v="orange, lemon"/>
    <s v="orange"/>
    <s v="lemon"/>
    <x v="1"/>
    <x v="2"/>
    <x v="1"/>
  </r>
  <r>
    <n v="10"/>
    <x v="0"/>
    <x v="9"/>
    <x v="8"/>
    <n v="24"/>
    <x v="0"/>
    <x v="2"/>
    <s v="Mon"/>
    <s v="Mon"/>
    <m/>
    <m/>
    <m/>
    <m/>
    <b v="0"/>
    <s v=""/>
    <m/>
    <m/>
    <m/>
    <d v="1899-12-30T13:05:00"/>
    <d v="1899-12-30T15:29:00"/>
    <x v="9"/>
    <b v="0"/>
    <s v=""/>
    <m/>
    <m/>
    <x v="1"/>
    <x v="3"/>
    <x v="0"/>
  </r>
  <r>
    <n v="11"/>
    <x v="1"/>
    <x v="10"/>
    <x v="2"/>
    <n v="41"/>
    <x v="1"/>
    <x v="2"/>
    <s v="Fri"/>
    <s v="Fri"/>
    <m/>
    <m/>
    <m/>
    <m/>
    <b v="0"/>
    <s v=""/>
    <m/>
    <m/>
    <m/>
    <d v="1899-12-30T13:50:00"/>
    <d v="1899-12-30T14:26:00"/>
    <x v="10"/>
    <b v="0"/>
    <s v=""/>
    <m/>
    <m/>
    <x v="1"/>
    <x v="4"/>
    <x v="1"/>
  </r>
  <r>
    <n v="12"/>
    <x v="1"/>
    <x v="11"/>
    <x v="9"/>
    <n v="27"/>
    <x v="0"/>
    <x v="1"/>
    <s v="Fri, Thu, Wed"/>
    <s v="Fri"/>
    <s v="Thu"/>
    <s v="Wed"/>
    <m/>
    <m/>
    <b v="1"/>
    <s v="Pilates, Zumba, XCore"/>
    <s v="Pilates"/>
    <s v="Zumba"/>
    <s v="XCore"/>
    <d v="1899-12-30T10:12:00"/>
    <d v="1899-12-30T10:45:00"/>
    <x v="11"/>
    <b v="1"/>
    <s v="passion_fruit"/>
    <s v="passion_fruit"/>
    <m/>
    <x v="1"/>
    <x v="2"/>
    <x v="0"/>
  </r>
  <r>
    <n v="13"/>
    <x v="0"/>
    <x v="12"/>
    <x v="6"/>
    <n v="30"/>
    <x v="1"/>
    <x v="3"/>
    <s v="Sun, Wed"/>
    <s v="Sun"/>
    <s v="Wed"/>
    <m/>
    <m/>
    <m/>
    <b v="1"/>
    <s v="XCore, HIT, Running"/>
    <s v="XCore"/>
    <s v="HIT"/>
    <s v="Running"/>
    <d v="1899-12-30T17:04:00"/>
    <d v="1899-12-30T19:42:00"/>
    <x v="12"/>
    <b v="1"/>
    <s v="passion_fruit"/>
    <s v="passion_fruit"/>
    <m/>
    <x v="0"/>
    <x v="0"/>
    <x v="0"/>
  </r>
  <r>
    <n v="14"/>
    <x v="0"/>
    <x v="13"/>
    <x v="10"/>
    <n v="35"/>
    <x v="0"/>
    <x v="1"/>
    <s v="Mon, Tue, Wed"/>
    <s v="Mon"/>
    <s v="Tue"/>
    <s v="Wed"/>
    <m/>
    <m/>
    <b v="0"/>
    <s v=""/>
    <m/>
    <m/>
    <m/>
    <d v="1899-12-30T19:50:00"/>
    <d v="1899-12-30T20:51:00"/>
    <x v="13"/>
    <b v="1"/>
    <s v="black_currant"/>
    <s v="black_currant"/>
    <m/>
    <x v="0"/>
    <x v="0"/>
    <x v="1"/>
  </r>
  <r>
    <n v="15"/>
    <x v="0"/>
    <x v="14"/>
    <x v="11"/>
    <n v="35"/>
    <x v="0"/>
    <x v="2"/>
    <s v="Sat"/>
    <s v="Sat"/>
    <m/>
    <m/>
    <m/>
    <m/>
    <b v="0"/>
    <s v=""/>
    <m/>
    <m/>
    <m/>
    <d v="1899-12-30T20:12:00"/>
    <d v="1899-12-30T22:37:00"/>
    <x v="14"/>
    <b v="1"/>
    <s v="orange, black_currant"/>
    <s v="orange"/>
    <s v="black_currant"/>
    <x v="1"/>
    <x v="2"/>
    <x v="1"/>
  </r>
  <r>
    <n v="16"/>
    <x v="0"/>
    <x v="15"/>
    <x v="12"/>
    <n v="36"/>
    <x v="1"/>
    <x v="0"/>
    <s v="Mon, Thu, Tue, Wed"/>
    <s v="Mon"/>
    <s v="Thu"/>
    <s v="Tue"/>
    <s v="Wed"/>
    <m/>
    <b v="1"/>
    <s v="Spinning, Zumba, XCore"/>
    <s v="Spinning"/>
    <s v="Zumba"/>
    <s v="XCore"/>
    <d v="1899-12-30T17:28:00"/>
    <d v="1899-12-30T18:29:00"/>
    <x v="13"/>
    <b v="0"/>
    <s v=""/>
    <m/>
    <m/>
    <x v="0"/>
    <x v="0"/>
    <x v="1"/>
  </r>
  <r>
    <n v="17"/>
    <x v="1"/>
    <x v="16"/>
    <x v="13"/>
    <n v="37"/>
    <x v="0"/>
    <x v="1"/>
    <s v="Fri, Sat, Sun"/>
    <s v="Fri"/>
    <s v="Sat"/>
    <s v="Sun"/>
    <m/>
    <m/>
    <b v="0"/>
    <s v=""/>
    <m/>
    <m/>
    <m/>
    <d v="1899-12-30T09:25:00"/>
    <d v="1899-12-30T12:06:00"/>
    <x v="15"/>
    <b v="0"/>
    <s v=""/>
    <m/>
    <m/>
    <x v="1"/>
    <x v="3"/>
    <x v="0"/>
  </r>
  <r>
    <n v="18"/>
    <x v="0"/>
    <x v="17"/>
    <x v="14"/>
    <n v="13"/>
    <x v="1"/>
    <x v="1"/>
    <s v="Sat, Thu, Tue"/>
    <s v="Sat"/>
    <s v="Thu"/>
    <s v="Tue"/>
    <m/>
    <m/>
    <b v="0"/>
    <s v=""/>
    <m/>
    <m/>
    <m/>
    <d v="1899-12-30T16:54:00"/>
    <d v="1899-12-30T18:53:00"/>
    <x v="16"/>
    <b v="0"/>
    <s v=""/>
    <m/>
    <m/>
    <x v="1"/>
    <x v="2"/>
    <x v="0"/>
  </r>
  <r>
    <n v="19"/>
    <x v="0"/>
    <x v="18"/>
    <x v="15"/>
    <n v="38"/>
    <x v="1"/>
    <x v="2"/>
    <s v="Tue"/>
    <s v="Tue"/>
    <m/>
    <m/>
    <m/>
    <m/>
    <b v="1"/>
    <s v="Pilates"/>
    <s v="Pilates"/>
    <m/>
    <m/>
    <d v="1899-12-30T10:01:00"/>
    <d v="1899-12-30T12:48:00"/>
    <x v="17"/>
    <b v="1"/>
    <s v="orange"/>
    <s v="orange"/>
    <m/>
    <x v="1"/>
    <x v="4"/>
    <x v="0"/>
  </r>
  <r>
    <n v="20"/>
    <x v="1"/>
    <x v="19"/>
    <x v="16"/>
    <n v="33"/>
    <x v="0"/>
    <x v="3"/>
    <s v="Sat, Wed"/>
    <s v="Sat"/>
    <s v="Wed"/>
    <m/>
    <m/>
    <m/>
    <b v="1"/>
    <s v="BodyPump, Zumba, Pilates"/>
    <s v="BodyPump"/>
    <s v="Zumba"/>
    <s v="Pilates"/>
    <d v="1899-12-30T13:55:00"/>
    <d v="1899-12-30T16:24:00"/>
    <x v="18"/>
    <b v="0"/>
    <s v=""/>
    <m/>
    <m/>
    <x v="0"/>
    <x v="0"/>
    <x v="1"/>
  </r>
  <r>
    <n v="21"/>
    <x v="0"/>
    <x v="20"/>
    <x v="9"/>
    <n v="26"/>
    <x v="0"/>
    <x v="3"/>
    <s v="Fri, Mon"/>
    <s v="Fri"/>
    <s v="Mon"/>
    <m/>
    <m/>
    <m/>
    <b v="0"/>
    <s v=""/>
    <m/>
    <m/>
    <m/>
    <d v="1899-12-30T08:19:00"/>
    <d v="1899-12-30T10:45:00"/>
    <x v="19"/>
    <b v="0"/>
    <s v=""/>
    <m/>
    <m/>
    <x v="1"/>
    <x v="4"/>
    <x v="1"/>
  </r>
  <r>
    <n v="22"/>
    <x v="1"/>
    <x v="21"/>
    <x v="9"/>
    <n v="26"/>
    <x v="0"/>
    <x v="1"/>
    <s v="Fri, Mon, Sat"/>
    <s v="Fri"/>
    <s v="Mon"/>
    <s v="Sat"/>
    <m/>
    <m/>
    <b v="1"/>
    <s v="Yoga, BodyBalance, LesMiles"/>
    <s v="Yoga"/>
    <s v="BodyBalance"/>
    <s v="LesMiles"/>
    <d v="1899-12-30T15:06:00"/>
    <d v="1899-12-30T17:40:00"/>
    <x v="20"/>
    <b v="1"/>
    <s v="lemon"/>
    <s v="lemon"/>
    <m/>
    <x v="0"/>
    <x v="0"/>
    <x v="0"/>
  </r>
  <r>
    <n v="23"/>
    <x v="0"/>
    <x v="22"/>
    <x v="14"/>
    <n v="13"/>
    <x v="1"/>
    <x v="3"/>
    <s v="Mon, Tue"/>
    <s v="Mon"/>
    <s v="Tue"/>
    <m/>
    <m/>
    <m/>
    <b v="1"/>
    <s v="HIT"/>
    <s v="HIT"/>
    <m/>
    <m/>
    <d v="1899-12-30T20:56:00"/>
    <d v="1899-12-30T23:36:00"/>
    <x v="21"/>
    <b v="1"/>
    <s v="passion_fruit, orange"/>
    <s v="passion_fruit"/>
    <s v="orange"/>
    <x v="1"/>
    <x v="2"/>
    <x v="1"/>
  </r>
  <r>
    <n v="24"/>
    <x v="1"/>
    <x v="23"/>
    <x v="17"/>
    <n v="14"/>
    <x v="0"/>
    <x v="1"/>
    <s v="Sat, Tue, Wed"/>
    <s v="Sat"/>
    <s v="Tue"/>
    <s v="Wed"/>
    <m/>
    <m/>
    <b v="0"/>
    <s v=""/>
    <m/>
    <m/>
    <m/>
    <d v="1899-12-30T14:34:00"/>
    <d v="1899-12-30T16:33:00"/>
    <x v="16"/>
    <b v="1"/>
    <s v="lemon, coconut_pineapple"/>
    <s v="lemon"/>
    <s v="coconut_pineapple"/>
    <x v="1"/>
    <x v="3"/>
    <x v="0"/>
  </r>
  <r>
    <n v="25"/>
    <x v="0"/>
    <x v="24"/>
    <x v="5"/>
    <n v="16"/>
    <x v="0"/>
    <x v="2"/>
    <s v="Fri"/>
    <s v="Fri"/>
    <m/>
    <m/>
    <m/>
    <m/>
    <b v="0"/>
    <s v=""/>
    <m/>
    <m/>
    <m/>
    <d v="1899-12-30T08:42:00"/>
    <d v="1899-12-30T10:34:00"/>
    <x v="22"/>
    <b v="0"/>
    <s v=""/>
    <m/>
    <m/>
    <x v="0"/>
    <x v="0"/>
    <x v="1"/>
  </r>
  <r>
    <n v="26"/>
    <x v="1"/>
    <x v="25"/>
    <x v="10"/>
    <n v="35"/>
    <x v="1"/>
    <x v="2"/>
    <s v="Fri"/>
    <s v="Fri"/>
    <m/>
    <m/>
    <m/>
    <m/>
    <b v="1"/>
    <s v="BodyBalance, Zumba, Yoga"/>
    <s v="BodyBalance"/>
    <s v="Zumba"/>
    <s v="Yoga"/>
    <d v="1899-12-30T13:12:00"/>
    <d v="1899-12-30T14:54:00"/>
    <x v="23"/>
    <b v="1"/>
    <s v="coconut_pineapple"/>
    <s v="coconut_pineapple"/>
    <m/>
    <x v="1"/>
    <x v="1"/>
    <x v="1"/>
  </r>
  <r>
    <n v="27"/>
    <x v="1"/>
    <x v="26"/>
    <x v="18"/>
    <n v="19"/>
    <x v="0"/>
    <x v="1"/>
    <s v="Fri, Sun, Wed"/>
    <s v="Fri"/>
    <s v="Sun"/>
    <s v="Wed"/>
    <m/>
    <m/>
    <b v="1"/>
    <s v="Zumba"/>
    <s v="Zumba"/>
    <m/>
    <m/>
    <d v="1899-12-30T15:01:00"/>
    <d v="1899-12-30T16:59:00"/>
    <x v="24"/>
    <b v="1"/>
    <s v="berry_boost, passion_fruit"/>
    <s v="berry_boost"/>
    <s v="passion_fruit"/>
    <x v="0"/>
    <x v="0"/>
    <x v="1"/>
  </r>
  <r>
    <n v="28"/>
    <x v="1"/>
    <x v="27"/>
    <x v="16"/>
    <n v="32"/>
    <x v="1"/>
    <x v="4"/>
    <s v="Fri, Sat, Sun, Tue, Wed"/>
    <s v="Fri"/>
    <s v="Sat"/>
    <s v="Sun"/>
    <s v="Tue"/>
    <s v="Wed"/>
    <b v="1"/>
    <s v="BodyBalance, Pilates, Running"/>
    <s v="BodyBalance"/>
    <s v="Pilates"/>
    <s v="Running"/>
    <d v="1899-12-30T19:41:00"/>
    <d v="1899-12-30T21:35:00"/>
    <x v="25"/>
    <b v="1"/>
    <s v="berry_boost"/>
    <s v="berry_boost"/>
    <m/>
    <x v="1"/>
    <x v="1"/>
    <x v="1"/>
  </r>
  <r>
    <n v="29"/>
    <x v="0"/>
    <x v="28"/>
    <x v="0"/>
    <n v="27"/>
    <x v="0"/>
    <x v="2"/>
    <s v="Wed"/>
    <s v="Wed"/>
    <m/>
    <m/>
    <m/>
    <m/>
    <b v="0"/>
    <s v=""/>
    <m/>
    <m/>
    <m/>
    <d v="1899-12-30T11:25:00"/>
    <d v="1899-12-30T12:56:00"/>
    <x v="26"/>
    <b v="1"/>
    <s v="orange"/>
    <s v="orange"/>
    <m/>
    <x v="0"/>
    <x v="0"/>
    <x v="0"/>
  </r>
  <r>
    <n v="30"/>
    <x v="0"/>
    <x v="29"/>
    <x v="19"/>
    <n v="21"/>
    <x v="0"/>
    <x v="1"/>
    <s v="Fri, Mon, Thu"/>
    <s v="Fri"/>
    <s v="Mon"/>
    <s v="Thu"/>
    <m/>
    <m/>
    <b v="1"/>
    <s v="Spinning, BodyPump, Zumba"/>
    <s v="Spinning"/>
    <s v="BodyPump"/>
    <s v="Zumba"/>
    <d v="1899-12-30T20:15:00"/>
    <d v="1899-12-30T21:36:00"/>
    <x v="27"/>
    <b v="1"/>
    <s v="orange, coconut_pineapple"/>
    <s v="orange"/>
    <s v="coconut_pineapple"/>
    <x v="0"/>
    <x v="0"/>
    <x v="0"/>
  </r>
  <r>
    <n v="31"/>
    <x v="1"/>
    <x v="30"/>
    <x v="12"/>
    <n v="36"/>
    <x v="0"/>
    <x v="1"/>
    <s v="Sun, Thu, Wed"/>
    <s v="Sun"/>
    <s v="Thu"/>
    <s v="Wed"/>
    <m/>
    <m/>
    <b v="0"/>
    <s v=""/>
    <m/>
    <m/>
    <m/>
    <d v="1899-12-30T10:01:00"/>
    <d v="1899-12-30T12:11:00"/>
    <x v="28"/>
    <b v="0"/>
    <s v=""/>
    <m/>
    <m/>
    <x v="1"/>
    <x v="3"/>
    <x v="0"/>
  </r>
  <r>
    <n v="32"/>
    <x v="1"/>
    <x v="31"/>
    <x v="8"/>
    <n v="24"/>
    <x v="1"/>
    <x v="4"/>
    <s v="Fri, Mon, Sat, Sun, Wed"/>
    <s v="Fri"/>
    <s v="Mon"/>
    <s v="Sat"/>
    <s v="Sun"/>
    <s v="Wed"/>
    <b v="0"/>
    <s v=""/>
    <m/>
    <m/>
    <m/>
    <d v="1899-12-30T20:53:00"/>
    <d v="1899-12-30T23:33:00"/>
    <x v="21"/>
    <b v="1"/>
    <s v="black_currant, lemon"/>
    <s v="black_currant"/>
    <s v="lemon"/>
    <x v="0"/>
    <x v="0"/>
    <x v="1"/>
  </r>
  <r>
    <n v="33"/>
    <x v="0"/>
    <x v="32"/>
    <x v="20"/>
    <n v="42"/>
    <x v="0"/>
    <x v="1"/>
    <s v="Sat, Sun, Tue"/>
    <s v="Sat"/>
    <s v="Sun"/>
    <s v="Tue"/>
    <m/>
    <m/>
    <b v="1"/>
    <s v="LesMiles, HIT"/>
    <s v="LesMiles"/>
    <s v="HIT"/>
    <m/>
    <d v="1899-12-30T10:23:00"/>
    <d v="1899-12-30T12:01:00"/>
    <x v="29"/>
    <b v="0"/>
    <s v=""/>
    <m/>
    <m/>
    <x v="1"/>
    <x v="1"/>
    <x v="0"/>
  </r>
  <r>
    <n v="34"/>
    <x v="0"/>
    <x v="33"/>
    <x v="21"/>
    <n v="47"/>
    <x v="0"/>
    <x v="3"/>
    <s v="Mon, Sat"/>
    <s v="Mon"/>
    <s v="Sat"/>
    <m/>
    <m/>
    <m/>
    <b v="1"/>
    <s v="XCore, Running, BodyBalance"/>
    <s v="XCore"/>
    <s v="Running"/>
    <s v="BodyBalance"/>
    <d v="1899-12-30T14:42:00"/>
    <d v="1899-12-30T16:08:00"/>
    <x v="30"/>
    <b v="0"/>
    <s v=""/>
    <m/>
    <m/>
    <x v="1"/>
    <x v="4"/>
    <x v="0"/>
  </r>
  <r>
    <n v="35"/>
    <x v="1"/>
    <x v="34"/>
    <x v="7"/>
    <n v="20"/>
    <x v="0"/>
    <x v="4"/>
    <s v="Mon, Sun, Thu, Tue, Wed"/>
    <s v="Mon"/>
    <s v="Sun"/>
    <s v="Thu"/>
    <s v="Tue"/>
    <s v="Wed"/>
    <b v="0"/>
    <s v=""/>
    <m/>
    <m/>
    <m/>
    <d v="1899-12-30T18:15:00"/>
    <d v="1899-12-30T20:54:00"/>
    <x v="31"/>
    <b v="0"/>
    <s v=""/>
    <m/>
    <m/>
    <x v="1"/>
    <x v="2"/>
    <x v="0"/>
  </r>
  <r>
    <n v="36"/>
    <x v="1"/>
    <x v="35"/>
    <x v="11"/>
    <n v="34"/>
    <x v="1"/>
    <x v="1"/>
    <s v="Sat, Sun, Tue"/>
    <s v="Sat"/>
    <s v="Sun"/>
    <s v="Tue"/>
    <m/>
    <m/>
    <b v="1"/>
    <s v="XCore"/>
    <s v="XCore"/>
    <m/>
    <m/>
    <d v="1899-12-30T13:39:00"/>
    <d v="1899-12-30T16:20:00"/>
    <x v="15"/>
    <b v="1"/>
    <s v="orange"/>
    <s v="orange"/>
    <m/>
    <x v="0"/>
    <x v="0"/>
    <x v="0"/>
  </r>
  <r>
    <n v="37"/>
    <x v="0"/>
    <x v="36"/>
    <x v="4"/>
    <n v="43"/>
    <x v="1"/>
    <x v="4"/>
    <s v="Fri, Sat, Sun, Tue, Wed"/>
    <s v="Fri"/>
    <s v="Sat"/>
    <s v="Sun"/>
    <s v="Tue"/>
    <s v="Wed"/>
    <b v="0"/>
    <s v=""/>
    <m/>
    <m/>
    <m/>
    <d v="1899-12-30T09:02:00"/>
    <d v="1899-12-30T10:21:00"/>
    <x v="32"/>
    <b v="0"/>
    <s v=""/>
    <m/>
    <m/>
    <x v="0"/>
    <x v="0"/>
    <x v="1"/>
  </r>
  <r>
    <n v="38"/>
    <x v="0"/>
    <x v="37"/>
    <x v="22"/>
    <n v="40"/>
    <x v="0"/>
    <x v="3"/>
    <s v="Sat, Thu"/>
    <s v="Sat"/>
    <s v="Thu"/>
    <m/>
    <m/>
    <m/>
    <b v="0"/>
    <s v=""/>
    <m/>
    <m/>
    <m/>
    <d v="1899-12-30T08:39:00"/>
    <d v="1899-12-30T10:37:00"/>
    <x v="24"/>
    <b v="0"/>
    <s v=""/>
    <m/>
    <m/>
    <x v="0"/>
    <x v="0"/>
    <x v="1"/>
  </r>
  <r>
    <n v="39"/>
    <x v="1"/>
    <x v="38"/>
    <x v="3"/>
    <n v="44"/>
    <x v="0"/>
    <x v="2"/>
    <s v="Wed"/>
    <s v="Wed"/>
    <m/>
    <m/>
    <m/>
    <m/>
    <b v="0"/>
    <s v=""/>
    <m/>
    <m/>
    <m/>
    <d v="1899-12-30T20:43:00"/>
    <d v="1899-12-30T22:58:00"/>
    <x v="33"/>
    <b v="1"/>
    <s v="coconut_pineapple, berry_boost"/>
    <s v="coconut_pineapple"/>
    <s v="berry_boost"/>
    <x v="0"/>
    <x v="0"/>
    <x v="1"/>
  </r>
  <r>
    <n v="40"/>
    <x v="0"/>
    <x v="39"/>
    <x v="23"/>
    <n v="18"/>
    <x v="0"/>
    <x v="3"/>
    <s v="Mon, Tue"/>
    <s v="Mon"/>
    <s v="Tue"/>
    <m/>
    <m/>
    <m/>
    <b v="1"/>
    <s v="LesMiles"/>
    <s v="LesMiles"/>
    <m/>
    <m/>
    <d v="1899-12-30T10:26:00"/>
    <d v="1899-12-30T12:13:00"/>
    <x v="34"/>
    <b v="1"/>
    <s v="passion_fruit, black_currant"/>
    <s v="passion_fruit"/>
    <s v="black_currant"/>
    <x v="0"/>
    <x v="0"/>
    <x v="0"/>
  </r>
  <r>
    <n v="41"/>
    <x v="0"/>
    <x v="40"/>
    <x v="24"/>
    <n v="16"/>
    <x v="0"/>
    <x v="1"/>
    <s v="Mon, Sun, Tue"/>
    <s v="Mon"/>
    <s v="Sun"/>
    <s v="Tue"/>
    <m/>
    <m/>
    <b v="0"/>
    <s v=""/>
    <m/>
    <m/>
    <m/>
    <d v="1899-12-30T16:04:00"/>
    <d v="1899-12-30T17:51:00"/>
    <x v="34"/>
    <b v="1"/>
    <s v="coconut_pineapple"/>
    <s v="coconut_pineapple"/>
    <m/>
    <x v="1"/>
    <x v="4"/>
    <x v="0"/>
  </r>
  <r>
    <n v="42"/>
    <x v="0"/>
    <x v="41"/>
    <x v="10"/>
    <n v="35"/>
    <x v="1"/>
    <x v="2"/>
    <s v="Sun"/>
    <s v="Sun"/>
    <m/>
    <m/>
    <m/>
    <m/>
    <b v="0"/>
    <s v=""/>
    <m/>
    <m/>
    <m/>
    <d v="1899-12-30T09:38:00"/>
    <d v="1899-12-30T10:36:00"/>
    <x v="35"/>
    <b v="0"/>
    <s v=""/>
    <m/>
    <m/>
    <x v="0"/>
    <x v="0"/>
    <x v="1"/>
  </r>
  <r>
    <n v="43"/>
    <x v="0"/>
    <x v="42"/>
    <x v="25"/>
    <n v="29"/>
    <x v="0"/>
    <x v="2"/>
    <s v="Thu"/>
    <s v="Thu"/>
    <m/>
    <m/>
    <m/>
    <m/>
    <b v="1"/>
    <s v="BodyBalance"/>
    <s v="BodyBalance"/>
    <m/>
    <m/>
    <d v="1899-12-30T10:25:00"/>
    <d v="1899-12-30T12:04:00"/>
    <x v="3"/>
    <b v="1"/>
    <s v="black_currant, lemon"/>
    <s v="black_currant"/>
    <s v="lemon"/>
    <x v="1"/>
    <x v="1"/>
    <x v="1"/>
  </r>
  <r>
    <n v="44"/>
    <x v="0"/>
    <x v="43"/>
    <x v="26"/>
    <n v="28"/>
    <x v="1"/>
    <x v="2"/>
    <s v="Sun"/>
    <s v="Sun"/>
    <m/>
    <m/>
    <m/>
    <m/>
    <b v="0"/>
    <s v=""/>
    <m/>
    <m/>
    <m/>
    <d v="1899-12-30T11:49:00"/>
    <d v="1899-12-30T14:11:00"/>
    <x v="36"/>
    <b v="1"/>
    <s v="coconut_pineapple, passion_fruit"/>
    <s v="coconut_pineapple"/>
    <s v="passion_fruit"/>
    <x v="1"/>
    <x v="4"/>
    <x v="0"/>
  </r>
  <r>
    <n v="45"/>
    <x v="1"/>
    <x v="44"/>
    <x v="27"/>
    <n v="48"/>
    <x v="0"/>
    <x v="3"/>
    <s v="Tue, Wed"/>
    <s v="Tue"/>
    <s v="Wed"/>
    <m/>
    <m/>
    <m/>
    <b v="0"/>
    <s v=""/>
    <m/>
    <m/>
    <m/>
    <d v="1899-12-30T09:57:00"/>
    <d v="1899-12-30T12:35:00"/>
    <x v="12"/>
    <b v="0"/>
    <s v=""/>
    <m/>
    <m/>
    <x v="1"/>
    <x v="4"/>
    <x v="0"/>
  </r>
  <r>
    <n v="46"/>
    <x v="0"/>
    <x v="45"/>
    <x v="4"/>
    <n v="43"/>
    <x v="1"/>
    <x v="0"/>
    <s v="Fri, Mon, Sat, Tue"/>
    <s v="Fri"/>
    <s v="Mon"/>
    <s v="Sat"/>
    <s v="Tue"/>
    <m/>
    <b v="1"/>
    <s v="Spinning"/>
    <s v="Spinning"/>
    <m/>
    <m/>
    <d v="1899-12-30T18:41:00"/>
    <d v="1899-12-30T21:36:00"/>
    <x v="37"/>
    <b v="0"/>
    <s v=""/>
    <m/>
    <m/>
    <x v="1"/>
    <x v="4"/>
    <x v="1"/>
  </r>
  <r>
    <n v="47"/>
    <x v="1"/>
    <x v="46"/>
    <x v="10"/>
    <n v="35"/>
    <x v="1"/>
    <x v="1"/>
    <s v="Sun, Tue, Wed"/>
    <s v="Sun"/>
    <s v="Tue"/>
    <s v="Wed"/>
    <m/>
    <m/>
    <b v="0"/>
    <s v=""/>
    <m/>
    <m/>
    <m/>
    <d v="1899-12-30T15:02:00"/>
    <d v="1899-12-30T16:29:00"/>
    <x v="38"/>
    <b v="0"/>
    <s v=""/>
    <m/>
    <m/>
    <x v="0"/>
    <x v="0"/>
    <x v="1"/>
  </r>
  <r>
    <n v="48"/>
    <x v="1"/>
    <x v="47"/>
    <x v="9"/>
    <n v="26"/>
    <x v="0"/>
    <x v="4"/>
    <s v="Fri, Mon, Sun, Thu, Tue"/>
    <s v="Fri"/>
    <s v="Mon"/>
    <s v="Sun"/>
    <s v="Thu"/>
    <s v="Tue"/>
    <b v="1"/>
    <s v="Yoga"/>
    <s v="Yoga"/>
    <m/>
    <m/>
    <d v="1899-12-30T16:29:00"/>
    <d v="1899-12-30T18:45:00"/>
    <x v="39"/>
    <b v="0"/>
    <s v=""/>
    <m/>
    <m/>
    <x v="1"/>
    <x v="3"/>
    <x v="0"/>
  </r>
  <r>
    <n v="49"/>
    <x v="0"/>
    <x v="48"/>
    <x v="27"/>
    <n v="48"/>
    <x v="0"/>
    <x v="1"/>
    <s v="Fri, Thu, Tue"/>
    <s v="Fri"/>
    <s v="Thu"/>
    <s v="Tue"/>
    <m/>
    <m/>
    <b v="1"/>
    <s v="Yoga, BodyBalance"/>
    <s v="Yoga"/>
    <s v="BodyBalance"/>
    <m/>
    <d v="1899-12-30T11:56:00"/>
    <d v="1899-12-30T14:13:00"/>
    <x v="40"/>
    <b v="0"/>
    <s v=""/>
    <m/>
    <m/>
    <x v="1"/>
    <x v="1"/>
    <x v="0"/>
  </r>
  <r>
    <n v="50"/>
    <x v="0"/>
    <x v="49"/>
    <x v="3"/>
    <n v="44"/>
    <x v="0"/>
    <x v="3"/>
    <s v="Sat, Tue"/>
    <s v="Sat"/>
    <s v="Tue"/>
    <m/>
    <m/>
    <m/>
    <b v="1"/>
    <s v="BodyPump, Zumba"/>
    <s v="BodyPump"/>
    <s v="Zumba"/>
    <m/>
    <d v="1899-12-30T08:54:00"/>
    <d v="1899-12-30T11:35:00"/>
    <x v="15"/>
    <b v="1"/>
    <s v="black_currant, passion_fruit"/>
    <s v="black_currant"/>
    <s v="passion_fruit"/>
    <x v="0"/>
    <x v="0"/>
    <x v="0"/>
  </r>
  <r>
    <n v="51"/>
    <x v="1"/>
    <x v="50"/>
    <x v="28"/>
    <n v="45"/>
    <x v="1"/>
    <x v="1"/>
    <s v="Mon, Sun, Thu"/>
    <s v="Mon"/>
    <s v="Sun"/>
    <s v="Thu"/>
    <m/>
    <m/>
    <b v="0"/>
    <s v=""/>
    <m/>
    <m/>
    <m/>
    <d v="1899-12-30T09:43:00"/>
    <d v="1899-12-30T11:16:00"/>
    <x v="41"/>
    <b v="1"/>
    <s v="coconut_pineapple, passion_fruit"/>
    <s v="coconut_pineapple"/>
    <s v="passion_fruit"/>
    <x v="0"/>
    <x v="0"/>
    <x v="0"/>
  </r>
  <r>
    <n v="52"/>
    <x v="1"/>
    <x v="51"/>
    <x v="26"/>
    <n v="28"/>
    <x v="0"/>
    <x v="3"/>
    <s v="Sat, Wed"/>
    <s v="Sat"/>
    <s v="Wed"/>
    <m/>
    <m/>
    <m/>
    <b v="1"/>
    <s v="BodyPump, Yoga"/>
    <s v="BodyPump"/>
    <s v="Yoga"/>
    <m/>
    <d v="1899-12-30T20:58:00"/>
    <d v="1899-12-30T22:20:00"/>
    <x v="42"/>
    <b v="0"/>
    <s v=""/>
    <m/>
    <m/>
    <x v="0"/>
    <x v="0"/>
    <x v="0"/>
  </r>
  <r>
    <n v="53"/>
    <x v="0"/>
    <x v="52"/>
    <x v="7"/>
    <n v="20"/>
    <x v="0"/>
    <x v="3"/>
    <s v="Sun, Thu"/>
    <s v="Sun"/>
    <s v="Thu"/>
    <m/>
    <m/>
    <m/>
    <b v="1"/>
    <s v="BodyBalance, Running"/>
    <s v="BodyBalance"/>
    <s v="Running"/>
    <m/>
    <d v="1899-12-30T09:26:00"/>
    <d v="1899-12-30T10:35:00"/>
    <x v="43"/>
    <b v="0"/>
    <s v=""/>
    <m/>
    <m/>
    <x v="0"/>
    <x v="0"/>
    <x v="1"/>
  </r>
  <r>
    <n v="54"/>
    <x v="0"/>
    <x v="53"/>
    <x v="4"/>
    <n v="43"/>
    <x v="1"/>
    <x v="0"/>
    <s v="Fri, Mon, Sat, Thu"/>
    <s v="Fri"/>
    <s v="Mon"/>
    <s v="Sat"/>
    <s v="Thu"/>
    <m/>
    <b v="1"/>
    <s v="Pilates"/>
    <s v="Pilates"/>
    <m/>
    <m/>
    <d v="1899-12-30T20:36:00"/>
    <d v="1899-12-30T23:17:00"/>
    <x v="15"/>
    <b v="1"/>
    <s v="orange, berry_boost"/>
    <s v="orange"/>
    <s v="berry_boost"/>
    <x v="1"/>
    <x v="2"/>
    <x v="1"/>
  </r>
  <r>
    <n v="55"/>
    <x v="1"/>
    <x v="54"/>
    <x v="8"/>
    <n v="24"/>
    <x v="1"/>
    <x v="3"/>
    <s v="Sun, Thu"/>
    <s v="Sun"/>
    <s v="Thu"/>
    <m/>
    <m/>
    <m/>
    <b v="1"/>
    <s v="Spinning, Kickboxen, LesMiles"/>
    <s v="Spinning"/>
    <s v="Kickboxen"/>
    <s v="LesMiles"/>
    <d v="1899-12-30T15:49:00"/>
    <d v="1899-12-30T18:31:00"/>
    <x v="44"/>
    <b v="1"/>
    <s v="black_currant"/>
    <s v="black_currant"/>
    <m/>
    <x v="1"/>
    <x v="1"/>
    <x v="0"/>
  </r>
  <r>
    <n v="56"/>
    <x v="1"/>
    <x v="55"/>
    <x v="29"/>
    <n v="22"/>
    <x v="1"/>
    <x v="1"/>
    <s v="Fri, Sun, Tue"/>
    <s v="Fri"/>
    <s v="Sun"/>
    <s v="Tue"/>
    <m/>
    <m/>
    <b v="0"/>
    <s v=""/>
    <m/>
    <m/>
    <m/>
    <d v="1899-12-30T17:13:00"/>
    <d v="1899-12-30T18:24:00"/>
    <x v="45"/>
    <b v="0"/>
    <s v=""/>
    <m/>
    <m/>
    <x v="0"/>
    <x v="0"/>
    <x v="0"/>
  </r>
  <r>
    <n v="57"/>
    <x v="0"/>
    <x v="56"/>
    <x v="30"/>
    <n v="23"/>
    <x v="1"/>
    <x v="1"/>
    <s v="Sat, Thu, Wed"/>
    <s v="Sat"/>
    <s v="Thu"/>
    <s v="Wed"/>
    <m/>
    <m/>
    <b v="0"/>
    <s v=""/>
    <m/>
    <m/>
    <m/>
    <d v="1899-12-30T08:36:00"/>
    <d v="1899-12-30T11:18:00"/>
    <x v="44"/>
    <b v="0"/>
    <s v=""/>
    <m/>
    <m/>
    <x v="0"/>
    <x v="0"/>
    <x v="1"/>
  </r>
  <r>
    <n v="58"/>
    <x v="1"/>
    <x v="57"/>
    <x v="1"/>
    <n v="46"/>
    <x v="0"/>
    <x v="4"/>
    <s v="Fri, Mon, Sat, Thu, Tue"/>
    <s v="Fri"/>
    <s v="Mon"/>
    <s v="Sat"/>
    <s v="Thu"/>
    <s v="Tue"/>
    <b v="1"/>
    <s v="BodyBalance, BodyPump"/>
    <s v="BodyBalance"/>
    <s v="BodyPump"/>
    <m/>
    <d v="1899-12-30T12:19:00"/>
    <d v="1899-12-30T12:49:00"/>
    <x v="46"/>
    <b v="0"/>
    <s v=""/>
    <m/>
    <m/>
    <x v="1"/>
    <x v="1"/>
    <x v="0"/>
  </r>
  <r>
    <n v="59"/>
    <x v="1"/>
    <x v="58"/>
    <x v="31"/>
    <n v="17"/>
    <x v="0"/>
    <x v="3"/>
    <s v="Fri, Tue"/>
    <s v="Fri"/>
    <s v="Tue"/>
    <m/>
    <m/>
    <m/>
    <b v="1"/>
    <s v="Kickboxen"/>
    <s v="Kickboxen"/>
    <m/>
    <m/>
    <d v="1899-12-30T10:40:00"/>
    <d v="1899-12-30T12:06:00"/>
    <x v="30"/>
    <b v="0"/>
    <s v=""/>
    <m/>
    <m/>
    <x v="0"/>
    <x v="0"/>
    <x v="0"/>
  </r>
  <r>
    <n v="60"/>
    <x v="0"/>
    <x v="59"/>
    <x v="12"/>
    <n v="36"/>
    <x v="1"/>
    <x v="3"/>
    <s v="Sat, Thu"/>
    <s v="Sat"/>
    <s v="Thu"/>
    <m/>
    <m/>
    <m/>
    <b v="1"/>
    <s v="XCore, Zumba"/>
    <s v="XCore"/>
    <s v="Zumba"/>
    <m/>
    <d v="1899-12-30T19:38:00"/>
    <d v="1899-12-30T21:40:00"/>
    <x v="47"/>
    <b v="1"/>
    <s v="orange"/>
    <s v="orange"/>
    <m/>
    <x v="1"/>
    <x v="1"/>
    <x v="0"/>
  </r>
  <r>
    <n v="61"/>
    <x v="0"/>
    <x v="60"/>
    <x v="21"/>
    <n v="47"/>
    <x v="0"/>
    <x v="1"/>
    <s v="Mon, Sun, Wed"/>
    <s v="Mon"/>
    <s v="Sun"/>
    <s v="Wed"/>
    <m/>
    <m/>
    <b v="0"/>
    <s v=""/>
    <m/>
    <m/>
    <m/>
    <d v="1899-12-30T18:30:00"/>
    <d v="1899-12-30T20:17:00"/>
    <x v="34"/>
    <b v="0"/>
    <s v=""/>
    <m/>
    <m/>
    <x v="1"/>
    <x v="1"/>
    <x v="1"/>
  </r>
  <r>
    <n v="62"/>
    <x v="0"/>
    <x v="61"/>
    <x v="25"/>
    <n v="29"/>
    <x v="1"/>
    <x v="1"/>
    <s v="Sat, Tue, Wed"/>
    <s v="Sat"/>
    <s v="Tue"/>
    <s v="Wed"/>
    <m/>
    <m/>
    <b v="0"/>
    <s v=""/>
    <m/>
    <m/>
    <m/>
    <d v="1899-12-30T10:28:00"/>
    <d v="1899-12-30T11:36:00"/>
    <x v="48"/>
    <b v="0"/>
    <s v=""/>
    <m/>
    <m/>
    <x v="1"/>
    <x v="1"/>
    <x v="0"/>
  </r>
  <r>
    <n v="63"/>
    <x v="1"/>
    <x v="62"/>
    <x v="6"/>
    <n v="30"/>
    <x v="1"/>
    <x v="1"/>
    <s v="Fri, Sun, Thu"/>
    <s v="Fri"/>
    <s v="Sun"/>
    <s v="Thu"/>
    <m/>
    <m/>
    <b v="0"/>
    <s v=""/>
    <m/>
    <m/>
    <m/>
    <d v="1899-12-30T17:22:00"/>
    <d v="1899-12-30T17:57:00"/>
    <x v="49"/>
    <b v="1"/>
    <s v="passion_fruit, coconut_pineapple"/>
    <s v="passion_fruit"/>
    <s v="coconut_pineapple"/>
    <x v="0"/>
    <x v="0"/>
    <x v="0"/>
  </r>
  <r>
    <n v="64"/>
    <x v="0"/>
    <x v="63"/>
    <x v="29"/>
    <n v="22"/>
    <x v="0"/>
    <x v="1"/>
    <s v="Fri, Sat, Sun"/>
    <s v="Fri"/>
    <s v="Sat"/>
    <s v="Sun"/>
    <m/>
    <m/>
    <b v="0"/>
    <s v=""/>
    <m/>
    <m/>
    <m/>
    <d v="1899-12-30T10:41:00"/>
    <d v="1899-12-30T11:38:00"/>
    <x v="50"/>
    <b v="1"/>
    <s v="lemon, berry_boost"/>
    <s v="lemon"/>
    <s v="berry_boost"/>
    <x v="1"/>
    <x v="4"/>
    <x v="0"/>
  </r>
  <r>
    <n v="65"/>
    <x v="0"/>
    <x v="64"/>
    <x v="2"/>
    <n v="41"/>
    <x v="1"/>
    <x v="3"/>
    <s v="Sun, Tue"/>
    <s v="Sun"/>
    <s v="Tue"/>
    <m/>
    <m/>
    <m/>
    <b v="0"/>
    <s v=""/>
    <m/>
    <m/>
    <m/>
    <d v="1899-12-30T13:55:00"/>
    <d v="1899-12-30T16:22:00"/>
    <x v="51"/>
    <b v="0"/>
    <s v=""/>
    <m/>
    <m/>
    <x v="0"/>
    <x v="0"/>
    <x v="0"/>
  </r>
  <r>
    <n v="66"/>
    <x v="0"/>
    <x v="65"/>
    <x v="28"/>
    <n v="45"/>
    <x v="0"/>
    <x v="0"/>
    <s v="Fri, Thu, Tue, Wed"/>
    <s v="Fri"/>
    <s v="Thu"/>
    <s v="Tue"/>
    <s v="Wed"/>
    <m/>
    <b v="0"/>
    <s v=""/>
    <m/>
    <m/>
    <m/>
    <d v="1899-12-30T13:06:00"/>
    <d v="1899-12-30T13:54:00"/>
    <x v="1"/>
    <b v="0"/>
    <s v=""/>
    <m/>
    <m/>
    <x v="0"/>
    <x v="0"/>
    <x v="0"/>
  </r>
  <r>
    <n v="67"/>
    <x v="0"/>
    <x v="66"/>
    <x v="29"/>
    <n v="22"/>
    <x v="0"/>
    <x v="2"/>
    <s v="Sun"/>
    <s v="Sun"/>
    <m/>
    <m/>
    <m/>
    <m/>
    <b v="1"/>
    <s v="Running"/>
    <s v="Running"/>
    <m/>
    <m/>
    <d v="1899-12-30T08:18:00"/>
    <d v="1899-12-30T11:08:00"/>
    <x v="52"/>
    <b v="0"/>
    <s v=""/>
    <m/>
    <m/>
    <x v="0"/>
    <x v="0"/>
    <x v="1"/>
  </r>
  <r>
    <n v="68"/>
    <x v="1"/>
    <x v="67"/>
    <x v="7"/>
    <n v="20"/>
    <x v="1"/>
    <x v="4"/>
    <s v="Mon, Sat, Sun, Thu, Wed"/>
    <s v="Mon"/>
    <s v="Sat"/>
    <s v="Sun"/>
    <s v="Thu"/>
    <s v="Wed"/>
    <b v="1"/>
    <s v="Spinning"/>
    <s v="Spinning"/>
    <m/>
    <m/>
    <d v="1899-12-30T13:04:00"/>
    <d v="1899-12-30T13:37:00"/>
    <x v="11"/>
    <b v="1"/>
    <s v="berry_boost, coconut_pineapple"/>
    <s v="berry_boost"/>
    <s v="coconut_pineapple"/>
    <x v="1"/>
    <x v="2"/>
    <x v="0"/>
  </r>
  <r>
    <n v="69"/>
    <x v="1"/>
    <x v="68"/>
    <x v="32"/>
    <n v="33"/>
    <x v="0"/>
    <x v="2"/>
    <s v="Wed"/>
    <s v="Wed"/>
    <m/>
    <m/>
    <m/>
    <m/>
    <b v="1"/>
    <s v="Zumba"/>
    <s v="Zumba"/>
    <m/>
    <m/>
    <d v="1899-12-30T09:04:00"/>
    <d v="1899-12-30T09:47:00"/>
    <x v="53"/>
    <b v="1"/>
    <s v="passion_fruit"/>
    <s v="passion_fruit"/>
    <m/>
    <x v="0"/>
    <x v="0"/>
    <x v="1"/>
  </r>
  <r>
    <n v="70"/>
    <x v="0"/>
    <x v="69"/>
    <x v="12"/>
    <n v="36"/>
    <x v="0"/>
    <x v="1"/>
    <s v="Fri, Sun, Tue"/>
    <s v="Fri"/>
    <s v="Sun"/>
    <s v="Tue"/>
    <m/>
    <m/>
    <b v="0"/>
    <s v=""/>
    <m/>
    <m/>
    <m/>
    <d v="1899-12-30T11:11:00"/>
    <d v="1899-12-30T13:56:00"/>
    <x v="54"/>
    <b v="0"/>
    <s v=""/>
    <m/>
    <m/>
    <x v="0"/>
    <x v="0"/>
    <x v="0"/>
  </r>
  <r>
    <n v="71"/>
    <x v="1"/>
    <x v="70"/>
    <x v="25"/>
    <n v="30"/>
    <x v="0"/>
    <x v="4"/>
    <s v="Fri, Mon, Sat, Sun, Tue"/>
    <s v="Fri"/>
    <s v="Mon"/>
    <s v="Sat"/>
    <s v="Sun"/>
    <s v="Tue"/>
    <b v="1"/>
    <s v="BodyPump"/>
    <s v="BodyPump"/>
    <m/>
    <m/>
    <d v="1899-12-30T13:04:00"/>
    <d v="1899-12-30T13:58:00"/>
    <x v="55"/>
    <b v="0"/>
    <s v=""/>
    <m/>
    <m/>
    <x v="1"/>
    <x v="4"/>
    <x v="0"/>
  </r>
  <r>
    <n v="72"/>
    <x v="1"/>
    <x v="71"/>
    <x v="31"/>
    <n v="17"/>
    <x v="0"/>
    <x v="2"/>
    <s v="Wed"/>
    <s v="Wed"/>
    <m/>
    <m/>
    <m/>
    <m/>
    <b v="0"/>
    <s v=""/>
    <m/>
    <m/>
    <m/>
    <d v="1899-12-30T10:30:00"/>
    <d v="1899-12-30T13:27:00"/>
    <x v="56"/>
    <b v="1"/>
    <s v="black_currant"/>
    <s v="black_currant"/>
    <m/>
    <x v="1"/>
    <x v="2"/>
    <x v="0"/>
  </r>
  <r>
    <n v="73"/>
    <x v="1"/>
    <x v="72"/>
    <x v="10"/>
    <n v="35"/>
    <x v="0"/>
    <x v="3"/>
    <s v="Mon, Tue"/>
    <s v="Mon"/>
    <s v="Tue"/>
    <m/>
    <m/>
    <m/>
    <b v="0"/>
    <s v=""/>
    <m/>
    <m/>
    <m/>
    <d v="1899-12-30T17:06:00"/>
    <d v="1899-12-30T18:39:00"/>
    <x v="41"/>
    <b v="1"/>
    <s v="berry_boost"/>
    <s v="berry_boost"/>
    <m/>
    <x v="1"/>
    <x v="1"/>
    <x v="1"/>
  </r>
  <r>
    <n v="74"/>
    <x v="1"/>
    <x v="73"/>
    <x v="26"/>
    <n v="28"/>
    <x v="1"/>
    <x v="3"/>
    <s v="Fri, Sun"/>
    <s v="Fri"/>
    <s v="Sun"/>
    <m/>
    <m/>
    <m/>
    <b v="0"/>
    <s v=""/>
    <m/>
    <m/>
    <m/>
    <d v="1899-12-30T20:17:00"/>
    <d v="1899-12-30T23:03:00"/>
    <x v="57"/>
    <b v="1"/>
    <s v="passion_fruit"/>
    <s v="passion_fruit"/>
    <m/>
    <x v="0"/>
    <x v="0"/>
    <x v="0"/>
  </r>
  <r>
    <n v="75"/>
    <x v="0"/>
    <x v="74"/>
    <x v="0"/>
    <n v="27"/>
    <x v="1"/>
    <x v="4"/>
    <s v="Fri, Mon, Sat, Thu, Tue"/>
    <s v="Fri"/>
    <s v="Mon"/>
    <s v="Sat"/>
    <s v="Thu"/>
    <s v="Tue"/>
    <b v="0"/>
    <s v=""/>
    <m/>
    <m/>
    <m/>
    <d v="1899-12-30T09:57:00"/>
    <d v="1899-12-30T12:22:00"/>
    <x v="14"/>
    <b v="0"/>
    <s v=""/>
    <m/>
    <m/>
    <x v="0"/>
    <x v="0"/>
    <x v="1"/>
  </r>
  <r>
    <n v="76"/>
    <x v="1"/>
    <x v="75"/>
    <x v="7"/>
    <n v="20"/>
    <x v="0"/>
    <x v="2"/>
    <s v="Sun"/>
    <s v="Sun"/>
    <m/>
    <m/>
    <m/>
    <m/>
    <b v="0"/>
    <s v=""/>
    <m/>
    <m/>
    <m/>
    <d v="1899-12-30T15:33:00"/>
    <d v="1899-12-30T17:01:00"/>
    <x v="58"/>
    <b v="0"/>
    <s v=""/>
    <m/>
    <m/>
    <x v="1"/>
    <x v="2"/>
    <x v="0"/>
  </r>
  <r>
    <n v="77"/>
    <x v="0"/>
    <x v="76"/>
    <x v="31"/>
    <n v="17"/>
    <x v="0"/>
    <x v="3"/>
    <s v="Mon, Tue"/>
    <s v="Mon"/>
    <s v="Tue"/>
    <m/>
    <m/>
    <m/>
    <b v="0"/>
    <s v=""/>
    <m/>
    <m/>
    <m/>
    <d v="1899-12-30T15:54:00"/>
    <d v="1899-12-30T16:46:00"/>
    <x v="59"/>
    <b v="0"/>
    <s v=""/>
    <m/>
    <m/>
    <x v="1"/>
    <x v="4"/>
    <x v="1"/>
  </r>
  <r>
    <n v="78"/>
    <x v="1"/>
    <x v="77"/>
    <x v="32"/>
    <n v="33"/>
    <x v="0"/>
    <x v="3"/>
    <s v="Mon, Sun"/>
    <s v="Mon"/>
    <s v="Sun"/>
    <m/>
    <m/>
    <m/>
    <b v="1"/>
    <s v="Zumba, Spinning, BodyBalance"/>
    <s v="Zumba"/>
    <s v="Spinning"/>
    <s v="BodyBalance"/>
    <d v="1899-12-30T16:16:00"/>
    <d v="1899-12-30T18:03:00"/>
    <x v="34"/>
    <b v="1"/>
    <s v="berry_boost"/>
    <s v="berry_boost"/>
    <m/>
    <x v="1"/>
    <x v="2"/>
    <x v="1"/>
  </r>
  <r>
    <n v="79"/>
    <x v="0"/>
    <x v="78"/>
    <x v="4"/>
    <n v="43"/>
    <x v="1"/>
    <x v="4"/>
    <s v="Fri, Sat, Thu, Tue, Wed"/>
    <s v="Fri"/>
    <s v="Sat"/>
    <s v="Thu"/>
    <s v="Tue"/>
    <s v="Wed"/>
    <b v="1"/>
    <s v="XCore"/>
    <s v="XCore"/>
    <m/>
    <m/>
    <d v="1899-12-30T12:44:00"/>
    <d v="1899-12-30T15:44:00"/>
    <x v="5"/>
    <b v="0"/>
    <s v=""/>
    <m/>
    <m/>
    <x v="0"/>
    <x v="0"/>
    <x v="1"/>
  </r>
  <r>
    <n v="80"/>
    <x v="0"/>
    <x v="79"/>
    <x v="10"/>
    <n v="36"/>
    <x v="1"/>
    <x v="3"/>
    <s v="Fri, Tue"/>
    <s v="Fri"/>
    <s v="Tue"/>
    <m/>
    <m/>
    <m/>
    <b v="1"/>
    <s v="Yoga, LesMiles, Spinning"/>
    <s v="Yoga"/>
    <s v="LesMiles"/>
    <s v="Spinning"/>
    <d v="1899-12-30T18:19:00"/>
    <d v="1899-12-30T20:02:00"/>
    <x v="60"/>
    <b v="0"/>
    <s v=""/>
    <m/>
    <m/>
    <x v="1"/>
    <x v="3"/>
    <x v="0"/>
  </r>
  <r>
    <n v="81"/>
    <x v="1"/>
    <x v="80"/>
    <x v="28"/>
    <n v="45"/>
    <x v="1"/>
    <x v="3"/>
    <s v="Mon, Sat"/>
    <s v="Mon"/>
    <s v="Sat"/>
    <m/>
    <m/>
    <m/>
    <b v="0"/>
    <s v=""/>
    <m/>
    <m/>
    <m/>
    <d v="1899-12-30T12:35:00"/>
    <d v="1899-12-30T15:18:00"/>
    <x v="61"/>
    <b v="1"/>
    <s v="berry_boost"/>
    <s v="berry_boost"/>
    <m/>
    <x v="1"/>
    <x v="2"/>
    <x v="0"/>
  </r>
  <r>
    <n v="82"/>
    <x v="1"/>
    <x v="81"/>
    <x v="20"/>
    <n v="42"/>
    <x v="1"/>
    <x v="1"/>
    <s v="Sun, Thu, Wed"/>
    <s v="Sun"/>
    <s v="Thu"/>
    <s v="Wed"/>
    <m/>
    <m/>
    <b v="1"/>
    <s v="Running, Kickboxen"/>
    <s v="Running"/>
    <s v="Kickboxen"/>
    <m/>
    <d v="1899-12-30T18:55:00"/>
    <d v="1899-12-30T21:00:00"/>
    <x v="62"/>
    <b v="0"/>
    <s v=""/>
    <m/>
    <m/>
    <x v="0"/>
    <x v="0"/>
    <x v="1"/>
  </r>
  <r>
    <n v="83"/>
    <x v="1"/>
    <x v="82"/>
    <x v="25"/>
    <n v="29"/>
    <x v="0"/>
    <x v="2"/>
    <s v="Mon"/>
    <s v="Mon"/>
    <m/>
    <m/>
    <m/>
    <m/>
    <b v="0"/>
    <s v=""/>
    <m/>
    <m/>
    <m/>
    <d v="1899-12-30T08:33:00"/>
    <d v="1899-12-30T09:57:00"/>
    <x v="63"/>
    <b v="1"/>
    <s v="coconut_pineapple"/>
    <s v="coconut_pineapple"/>
    <m/>
    <x v="0"/>
    <x v="0"/>
    <x v="1"/>
  </r>
  <r>
    <n v="84"/>
    <x v="1"/>
    <x v="83"/>
    <x v="23"/>
    <n v="18"/>
    <x v="1"/>
    <x v="1"/>
    <s v="Sun, Thu, Tue"/>
    <s v="Sun"/>
    <s v="Thu"/>
    <s v="Tue"/>
    <m/>
    <m/>
    <b v="1"/>
    <s v="Yoga, HIT"/>
    <s v="Yoga"/>
    <s v="HIT"/>
    <m/>
    <d v="1899-12-30T09:15:00"/>
    <d v="1899-12-30T10:04:00"/>
    <x v="64"/>
    <b v="1"/>
    <s v="black_currant, lemon"/>
    <s v="black_currant"/>
    <s v="lemon"/>
    <x v="0"/>
    <x v="0"/>
    <x v="1"/>
  </r>
  <r>
    <n v="85"/>
    <x v="0"/>
    <x v="84"/>
    <x v="16"/>
    <n v="32"/>
    <x v="0"/>
    <x v="3"/>
    <s v="Sat, Sun"/>
    <s v="Sat"/>
    <s v="Sun"/>
    <m/>
    <m/>
    <m/>
    <b v="1"/>
    <s v="HIT"/>
    <s v="HIT"/>
    <m/>
    <m/>
    <d v="1899-12-30T19:07:00"/>
    <d v="1899-12-30T22:00:00"/>
    <x v="65"/>
    <b v="0"/>
    <s v=""/>
    <m/>
    <m/>
    <x v="0"/>
    <x v="0"/>
    <x v="1"/>
  </r>
  <r>
    <n v="86"/>
    <x v="0"/>
    <x v="85"/>
    <x v="0"/>
    <n v="27"/>
    <x v="1"/>
    <x v="1"/>
    <s v="Mon, Sun, Tue"/>
    <s v="Mon"/>
    <s v="Sun"/>
    <s v="Tue"/>
    <m/>
    <m/>
    <b v="1"/>
    <s v="BodyPump, BodyBalance, XCore"/>
    <s v="BodyPump"/>
    <s v="BodyBalance"/>
    <s v="XCore"/>
    <d v="1899-12-30T20:29:00"/>
    <d v="1899-12-30T21:35:00"/>
    <x v="66"/>
    <b v="0"/>
    <s v=""/>
    <m/>
    <m/>
    <x v="1"/>
    <x v="1"/>
    <x v="1"/>
  </r>
  <r>
    <n v="87"/>
    <x v="1"/>
    <x v="86"/>
    <x v="21"/>
    <n v="47"/>
    <x v="0"/>
    <x v="1"/>
    <s v="Fri, Sat, Tue"/>
    <s v="Fri"/>
    <s v="Sat"/>
    <s v="Tue"/>
    <m/>
    <m/>
    <b v="1"/>
    <s v="Kickboxen, HIT, BodyPump"/>
    <s v="Kickboxen"/>
    <s v="HIT"/>
    <s v="BodyPump"/>
    <d v="1899-12-30T12:51:00"/>
    <d v="1899-12-30T14:37:00"/>
    <x v="67"/>
    <b v="0"/>
    <s v=""/>
    <m/>
    <m/>
    <x v="1"/>
    <x v="1"/>
    <x v="0"/>
  </r>
  <r>
    <n v="88"/>
    <x v="0"/>
    <x v="87"/>
    <x v="5"/>
    <n v="16"/>
    <x v="0"/>
    <x v="3"/>
    <s v="Sat, Sun"/>
    <s v="Sat"/>
    <s v="Sun"/>
    <m/>
    <m/>
    <m/>
    <b v="0"/>
    <s v=""/>
    <m/>
    <m/>
    <m/>
    <d v="1899-12-30T11:29:00"/>
    <d v="1899-12-30T13:03:00"/>
    <x v="68"/>
    <b v="1"/>
    <s v="passion_fruit, black_currant"/>
    <s v="passion_fruit"/>
    <s v="black_currant"/>
    <x v="0"/>
    <x v="0"/>
    <x v="0"/>
  </r>
  <r>
    <n v="89"/>
    <x v="0"/>
    <x v="88"/>
    <x v="33"/>
    <n v="39"/>
    <x v="1"/>
    <x v="0"/>
    <s v="Fri, Mon, Sat, Wed"/>
    <s v="Fri"/>
    <s v="Mon"/>
    <s v="Sat"/>
    <s v="Wed"/>
    <m/>
    <b v="1"/>
    <s v="Yoga"/>
    <s v="Yoga"/>
    <m/>
    <m/>
    <d v="1899-12-30T10:34:00"/>
    <d v="1899-12-30T11:27:00"/>
    <x v="69"/>
    <b v="0"/>
    <s v=""/>
    <m/>
    <m/>
    <x v="0"/>
    <x v="0"/>
    <x v="0"/>
  </r>
  <r>
    <n v="90"/>
    <x v="0"/>
    <x v="89"/>
    <x v="1"/>
    <n v="46"/>
    <x v="1"/>
    <x v="2"/>
    <s v="Sat"/>
    <s v="Sat"/>
    <m/>
    <m/>
    <m/>
    <m/>
    <b v="0"/>
    <s v=""/>
    <m/>
    <m/>
    <m/>
    <d v="1899-12-30T11:13:00"/>
    <d v="1899-12-30T13:19:00"/>
    <x v="70"/>
    <b v="1"/>
    <s v="lemon, berry_boost"/>
    <s v="lemon"/>
    <s v="berry_boost"/>
    <x v="0"/>
    <x v="0"/>
    <x v="0"/>
  </r>
  <r>
    <n v="91"/>
    <x v="0"/>
    <x v="90"/>
    <x v="19"/>
    <n v="21"/>
    <x v="0"/>
    <x v="1"/>
    <s v="Mon, Sat, Sun"/>
    <s v="Mon"/>
    <s v="Sat"/>
    <s v="Sun"/>
    <m/>
    <m/>
    <b v="0"/>
    <s v=""/>
    <m/>
    <m/>
    <m/>
    <d v="1899-12-30T13:04:00"/>
    <d v="1899-12-30T14:21:00"/>
    <x v="71"/>
    <b v="1"/>
    <s v="berry_boost"/>
    <s v="berry_boost"/>
    <m/>
    <x v="0"/>
    <x v="0"/>
    <x v="1"/>
  </r>
  <r>
    <n v="92"/>
    <x v="1"/>
    <x v="91"/>
    <x v="34"/>
    <n v="31"/>
    <x v="1"/>
    <x v="2"/>
    <s v="Sun"/>
    <s v="Sun"/>
    <m/>
    <m/>
    <m/>
    <m/>
    <b v="1"/>
    <s v="Running"/>
    <s v="Running"/>
    <m/>
    <m/>
    <d v="1899-12-30T14:37:00"/>
    <d v="1899-12-30T15:25:00"/>
    <x v="1"/>
    <b v="0"/>
    <s v=""/>
    <m/>
    <m/>
    <x v="1"/>
    <x v="1"/>
    <x v="1"/>
  </r>
  <r>
    <n v="93"/>
    <x v="0"/>
    <x v="92"/>
    <x v="22"/>
    <n v="40"/>
    <x v="1"/>
    <x v="0"/>
    <s v="Mon, Sat, Sun, Wed"/>
    <s v="Mon"/>
    <s v="Sat"/>
    <s v="Sun"/>
    <s v="Wed"/>
    <m/>
    <b v="1"/>
    <s v="BodyPump, Spinning, Pilates"/>
    <s v="BodyPump"/>
    <s v="Spinning"/>
    <s v="Pilates"/>
    <d v="1899-12-30T09:55:00"/>
    <d v="1899-12-30T10:43:00"/>
    <x v="1"/>
    <b v="0"/>
    <s v=""/>
    <m/>
    <m/>
    <x v="0"/>
    <x v="0"/>
    <x v="0"/>
  </r>
  <r>
    <n v="94"/>
    <x v="0"/>
    <x v="93"/>
    <x v="2"/>
    <n v="41"/>
    <x v="1"/>
    <x v="3"/>
    <s v="Tue, Wed"/>
    <s v="Tue"/>
    <s v="Wed"/>
    <m/>
    <m/>
    <m/>
    <b v="1"/>
    <s v="BodyPump, Spinning, HIT"/>
    <s v="BodyPump"/>
    <s v="Spinning"/>
    <s v="HIT"/>
    <d v="1899-12-30T16:43:00"/>
    <d v="1899-12-30T18:46:00"/>
    <x v="2"/>
    <b v="1"/>
    <s v="coconut_pineapple"/>
    <s v="coconut_pineapple"/>
    <m/>
    <x v="1"/>
    <x v="1"/>
    <x v="0"/>
  </r>
  <r>
    <n v="95"/>
    <x v="0"/>
    <x v="94"/>
    <x v="35"/>
    <n v="12"/>
    <x v="1"/>
    <x v="1"/>
    <s v="Fri, Thu, Wed"/>
    <s v="Fri"/>
    <s v="Thu"/>
    <s v="Wed"/>
    <m/>
    <m/>
    <b v="1"/>
    <s v="BodyBalance"/>
    <s v="BodyBalance"/>
    <m/>
    <m/>
    <d v="1899-12-30T10:10:00"/>
    <d v="1899-12-30T12:50:00"/>
    <x v="21"/>
    <b v="1"/>
    <s v="berry_boost"/>
    <s v="berry_boost"/>
    <m/>
    <x v="0"/>
    <x v="0"/>
    <x v="0"/>
  </r>
  <r>
    <n v="96"/>
    <x v="1"/>
    <x v="95"/>
    <x v="22"/>
    <n v="40"/>
    <x v="1"/>
    <x v="2"/>
    <s v="Sat"/>
    <s v="Sat"/>
    <m/>
    <m/>
    <m/>
    <m/>
    <b v="0"/>
    <s v=""/>
    <m/>
    <m/>
    <m/>
    <d v="1899-12-30T10:28:00"/>
    <d v="1899-12-30T13:25:00"/>
    <x v="56"/>
    <b v="0"/>
    <s v=""/>
    <m/>
    <m/>
    <x v="0"/>
    <x v="0"/>
    <x v="0"/>
  </r>
  <r>
    <n v="97"/>
    <x v="1"/>
    <x v="96"/>
    <x v="25"/>
    <n v="29"/>
    <x v="0"/>
    <x v="1"/>
    <s v="Fri, Sun, Wed"/>
    <s v="Fri"/>
    <s v="Sun"/>
    <s v="Wed"/>
    <m/>
    <m/>
    <b v="0"/>
    <s v=""/>
    <m/>
    <m/>
    <m/>
    <d v="1899-12-30T14:16:00"/>
    <d v="1899-12-30T17:08:00"/>
    <x v="72"/>
    <b v="0"/>
    <s v=""/>
    <m/>
    <m/>
    <x v="0"/>
    <x v="0"/>
    <x v="1"/>
  </r>
  <r>
    <n v="98"/>
    <x v="1"/>
    <x v="97"/>
    <x v="23"/>
    <n v="19"/>
    <x v="0"/>
    <x v="3"/>
    <s v="Sat, Tue"/>
    <s v="Sat"/>
    <s v="Tue"/>
    <m/>
    <m/>
    <m/>
    <b v="0"/>
    <s v=""/>
    <m/>
    <m/>
    <m/>
    <d v="1899-12-30T16:57:00"/>
    <d v="1899-12-30T18:54:00"/>
    <x v="73"/>
    <b v="1"/>
    <s v="coconut_pineapple"/>
    <s v="coconut_pineapple"/>
    <m/>
    <x v="1"/>
    <x v="3"/>
    <x v="1"/>
  </r>
  <r>
    <n v="99"/>
    <x v="0"/>
    <x v="98"/>
    <x v="11"/>
    <n v="34"/>
    <x v="0"/>
    <x v="3"/>
    <s v="Fri, Mon"/>
    <s v="Fri"/>
    <s v="Mon"/>
    <m/>
    <m/>
    <m/>
    <b v="0"/>
    <s v=""/>
    <m/>
    <m/>
    <m/>
    <d v="1899-12-30T09:35:00"/>
    <d v="1899-12-30T12:00:00"/>
    <x v="14"/>
    <b v="0"/>
    <s v=""/>
    <m/>
    <m/>
    <x v="1"/>
    <x v="4"/>
    <x v="0"/>
  </r>
  <r>
    <n v="100"/>
    <x v="0"/>
    <x v="99"/>
    <x v="19"/>
    <n v="21"/>
    <x v="0"/>
    <x v="1"/>
    <s v="Mon, Sat, Wed"/>
    <s v="Mon"/>
    <s v="Sat"/>
    <s v="Wed"/>
    <m/>
    <m/>
    <b v="0"/>
    <s v=""/>
    <m/>
    <m/>
    <m/>
    <d v="1899-12-30T08:34:00"/>
    <d v="1899-12-30T10:00:00"/>
    <x v="30"/>
    <b v="0"/>
    <s v=""/>
    <m/>
    <m/>
    <x v="0"/>
    <x v="0"/>
    <x v="0"/>
  </r>
  <r>
    <n v="101"/>
    <x v="1"/>
    <x v="100"/>
    <x v="3"/>
    <n v="44"/>
    <x v="1"/>
    <x v="1"/>
    <s v="Sat, Sun, Wed"/>
    <s v="Sat"/>
    <s v="Sun"/>
    <s v="Wed"/>
    <m/>
    <m/>
    <b v="1"/>
    <s v="HIT"/>
    <s v="HIT"/>
    <m/>
    <m/>
    <d v="1899-12-30T10:11:00"/>
    <d v="1899-12-30T11:30:00"/>
    <x v="32"/>
    <b v="1"/>
    <s v="black_currant"/>
    <s v="black_currant"/>
    <m/>
    <x v="1"/>
    <x v="3"/>
    <x v="0"/>
  </r>
  <r>
    <n v="102"/>
    <x v="0"/>
    <x v="101"/>
    <x v="8"/>
    <n v="24"/>
    <x v="1"/>
    <x v="1"/>
    <s v="Fri, Mon, Sun"/>
    <s v="Fri"/>
    <s v="Mon"/>
    <s v="Sun"/>
    <m/>
    <m/>
    <b v="1"/>
    <s v="BodyPump"/>
    <s v="BodyPump"/>
    <m/>
    <m/>
    <d v="1899-12-30T17:42:00"/>
    <d v="1899-12-30T20:02:00"/>
    <x v="74"/>
    <b v="0"/>
    <s v=""/>
    <m/>
    <m/>
    <x v="1"/>
    <x v="2"/>
    <x v="1"/>
  </r>
  <r>
    <n v="103"/>
    <x v="1"/>
    <x v="102"/>
    <x v="32"/>
    <n v="33"/>
    <x v="1"/>
    <x v="4"/>
    <s v="Fri, Sat, Sun, Thu, Wed"/>
    <s v="Fri"/>
    <s v="Sat"/>
    <s v="Sun"/>
    <s v="Thu"/>
    <s v="Wed"/>
    <b v="1"/>
    <s v="Pilates, BodyBalance"/>
    <s v="Pilates"/>
    <s v="BodyBalance"/>
    <m/>
    <d v="1899-12-30T10:29:00"/>
    <d v="1899-12-30T11:18:00"/>
    <x v="64"/>
    <b v="1"/>
    <s v="lemon"/>
    <s v="lemon"/>
    <m/>
    <x v="1"/>
    <x v="1"/>
    <x v="1"/>
  </r>
  <r>
    <n v="104"/>
    <x v="0"/>
    <x v="103"/>
    <x v="21"/>
    <n v="47"/>
    <x v="0"/>
    <x v="3"/>
    <s v="Sat, Tue"/>
    <s v="Sat"/>
    <s v="Tue"/>
    <m/>
    <m/>
    <m/>
    <b v="0"/>
    <s v=""/>
    <m/>
    <m/>
    <m/>
    <d v="1899-12-30T13:19:00"/>
    <d v="1899-12-30T14:50:00"/>
    <x v="26"/>
    <b v="1"/>
    <s v="coconut_pineapple"/>
    <s v="coconut_pineapple"/>
    <m/>
    <x v="1"/>
    <x v="2"/>
    <x v="0"/>
  </r>
  <r>
    <n v="105"/>
    <x v="0"/>
    <x v="104"/>
    <x v="15"/>
    <n v="38"/>
    <x v="0"/>
    <x v="2"/>
    <s v="Mon"/>
    <s v="Mon"/>
    <m/>
    <m/>
    <m/>
    <m/>
    <b v="1"/>
    <s v="BodyPump, Zumba"/>
    <s v="BodyPump"/>
    <s v="Zumba"/>
    <m/>
    <d v="1899-12-30T09:51:00"/>
    <d v="1899-12-30T10:33:00"/>
    <x v="75"/>
    <b v="1"/>
    <s v="passion_fruit, berry_boost"/>
    <s v="passion_fruit"/>
    <s v="berry_boost"/>
    <x v="1"/>
    <x v="2"/>
    <x v="0"/>
  </r>
  <r>
    <n v="106"/>
    <x v="1"/>
    <x v="105"/>
    <x v="35"/>
    <n v="12"/>
    <x v="0"/>
    <x v="1"/>
    <s v="Fri, Sun, Thu"/>
    <s v="Fri"/>
    <s v="Sun"/>
    <s v="Thu"/>
    <m/>
    <m/>
    <b v="1"/>
    <s v="Pilates, LesMiles"/>
    <s v="Pilates"/>
    <s v="LesMiles"/>
    <m/>
    <d v="1899-12-30T19:57:00"/>
    <d v="1899-12-30T21:28:00"/>
    <x v="26"/>
    <b v="1"/>
    <s v="orange, black_currant"/>
    <s v="orange"/>
    <s v="black_currant"/>
    <x v="0"/>
    <x v="0"/>
    <x v="1"/>
  </r>
  <r>
    <n v="107"/>
    <x v="0"/>
    <x v="106"/>
    <x v="19"/>
    <n v="21"/>
    <x v="1"/>
    <x v="3"/>
    <s v="Fri, Mon"/>
    <s v="Fri"/>
    <s v="Mon"/>
    <m/>
    <m/>
    <m/>
    <b v="0"/>
    <s v=""/>
    <m/>
    <m/>
    <m/>
    <d v="1899-12-30T20:13:00"/>
    <d v="1899-12-30T21:48:00"/>
    <x v="7"/>
    <b v="1"/>
    <s v="coconut_pineapple"/>
    <s v="coconut_pineapple"/>
    <m/>
    <x v="0"/>
    <x v="0"/>
    <x v="1"/>
  </r>
  <r>
    <n v="108"/>
    <x v="0"/>
    <x v="107"/>
    <x v="29"/>
    <n v="22"/>
    <x v="1"/>
    <x v="1"/>
    <s v="Sat, Sun, Thu"/>
    <s v="Sat"/>
    <s v="Sun"/>
    <s v="Thu"/>
    <m/>
    <m/>
    <b v="1"/>
    <s v="Running, Kickboxen, BodyBalance"/>
    <s v="Running"/>
    <s v="Kickboxen"/>
    <s v="BodyBalance"/>
    <d v="1899-12-30T19:52:00"/>
    <d v="1899-12-30T20:46:00"/>
    <x v="55"/>
    <b v="0"/>
    <s v=""/>
    <m/>
    <m/>
    <x v="1"/>
    <x v="1"/>
    <x v="1"/>
  </r>
  <r>
    <n v="109"/>
    <x v="0"/>
    <x v="108"/>
    <x v="32"/>
    <n v="33"/>
    <x v="0"/>
    <x v="2"/>
    <s v="Thu"/>
    <s v="Thu"/>
    <m/>
    <m/>
    <m/>
    <m/>
    <b v="0"/>
    <s v=""/>
    <m/>
    <m/>
    <m/>
    <d v="1899-12-30T14:02:00"/>
    <d v="1899-12-30T15:29:00"/>
    <x v="38"/>
    <b v="0"/>
    <s v=""/>
    <m/>
    <m/>
    <x v="0"/>
    <x v="0"/>
    <x v="1"/>
  </r>
  <r>
    <n v="110"/>
    <x v="0"/>
    <x v="109"/>
    <x v="7"/>
    <n v="20"/>
    <x v="0"/>
    <x v="3"/>
    <s v="Fri, Wed"/>
    <s v="Fri"/>
    <s v="Wed"/>
    <m/>
    <m/>
    <m/>
    <b v="1"/>
    <s v="Pilates"/>
    <s v="Pilates"/>
    <m/>
    <m/>
    <d v="1899-12-30T17:52:00"/>
    <d v="1899-12-30T20:41:00"/>
    <x v="76"/>
    <b v="0"/>
    <s v=""/>
    <m/>
    <m/>
    <x v="0"/>
    <x v="0"/>
    <x v="0"/>
  </r>
  <r>
    <n v="111"/>
    <x v="0"/>
    <x v="110"/>
    <x v="6"/>
    <n v="30"/>
    <x v="1"/>
    <x v="1"/>
    <s v="Sat, Sun, Wed"/>
    <s v="Sat"/>
    <s v="Sun"/>
    <s v="Wed"/>
    <m/>
    <m/>
    <b v="1"/>
    <s v="HIT, LesMiles"/>
    <s v="HIT"/>
    <s v="LesMiles"/>
    <m/>
    <d v="1899-12-30T17:43:00"/>
    <d v="1899-12-30T18:23:00"/>
    <x v="77"/>
    <b v="0"/>
    <s v=""/>
    <m/>
    <m/>
    <x v="0"/>
    <x v="0"/>
    <x v="1"/>
  </r>
  <r>
    <n v="112"/>
    <x v="1"/>
    <x v="111"/>
    <x v="5"/>
    <n v="15"/>
    <x v="1"/>
    <x v="1"/>
    <s v="Fri, Sun, Wed"/>
    <s v="Fri"/>
    <s v="Sun"/>
    <s v="Wed"/>
    <m/>
    <m/>
    <b v="1"/>
    <s v="Pilates, BodyBalance, HIT"/>
    <s v="Pilates"/>
    <s v="BodyBalance"/>
    <s v="HIT"/>
    <d v="1899-12-30T16:33:00"/>
    <d v="1899-12-30T19:09:00"/>
    <x v="78"/>
    <b v="0"/>
    <s v=""/>
    <m/>
    <m/>
    <x v="0"/>
    <x v="0"/>
    <x v="1"/>
  </r>
  <r>
    <n v="113"/>
    <x v="0"/>
    <x v="112"/>
    <x v="21"/>
    <n v="47"/>
    <x v="0"/>
    <x v="2"/>
    <s v="Sun"/>
    <s v="Sun"/>
    <m/>
    <m/>
    <m/>
    <m/>
    <b v="0"/>
    <s v=""/>
    <m/>
    <m/>
    <m/>
    <d v="1899-12-30T16:23:00"/>
    <d v="1899-12-30T18:07:00"/>
    <x v="79"/>
    <b v="0"/>
    <s v=""/>
    <m/>
    <m/>
    <x v="1"/>
    <x v="1"/>
    <x v="1"/>
  </r>
  <r>
    <n v="114"/>
    <x v="0"/>
    <x v="113"/>
    <x v="6"/>
    <n v="30"/>
    <x v="0"/>
    <x v="1"/>
    <s v="Sun, Thu, Tue"/>
    <s v="Sun"/>
    <s v="Thu"/>
    <s v="Tue"/>
    <m/>
    <m/>
    <b v="0"/>
    <s v=""/>
    <m/>
    <m/>
    <m/>
    <d v="1899-12-30T13:51:00"/>
    <d v="1899-12-30T16:13:00"/>
    <x v="36"/>
    <b v="0"/>
    <s v=""/>
    <m/>
    <m/>
    <x v="1"/>
    <x v="3"/>
    <x v="0"/>
  </r>
  <r>
    <n v="115"/>
    <x v="0"/>
    <x v="114"/>
    <x v="14"/>
    <n v="14"/>
    <x v="0"/>
    <x v="1"/>
    <s v="Sat, Sun, Tue"/>
    <s v="Sat"/>
    <s v="Sun"/>
    <s v="Tue"/>
    <m/>
    <m/>
    <b v="0"/>
    <s v=""/>
    <m/>
    <m/>
    <m/>
    <d v="1899-12-30T14:36:00"/>
    <d v="1899-12-30T15:11:00"/>
    <x v="49"/>
    <b v="0"/>
    <s v=""/>
    <m/>
    <m/>
    <x v="1"/>
    <x v="3"/>
    <x v="1"/>
  </r>
  <r>
    <n v="116"/>
    <x v="1"/>
    <x v="115"/>
    <x v="32"/>
    <n v="33"/>
    <x v="0"/>
    <x v="0"/>
    <s v="Fri, Thu, Tue, Wed"/>
    <s v="Fri"/>
    <s v="Thu"/>
    <s v="Tue"/>
    <s v="Wed"/>
    <m/>
    <b v="0"/>
    <s v=""/>
    <m/>
    <m/>
    <m/>
    <d v="1899-12-30T19:08:00"/>
    <d v="1899-12-30T22:06:00"/>
    <x v="80"/>
    <b v="1"/>
    <s v="orange"/>
    <s v="orange"/>
    <m/>
    <x v="0"/>
    <x v="0"/>
    <x v="0"/>
  </r>
  <r>
    <n v="117"/>
    <x v="1"/>
    <x v="116"/>
    <x v="36"/>
    <n v="49"/>
    <x v="1"/>
    <x v="2"/>
    <s v="Tue"/>
    <s v="Tue"/>
    <m/>
    <m/>
    <m/>
    <m/>
    <b v="1"/>
    <s v="Pilates"/>
    <s v="Pilates"/>
    <m/>
    <m/>
    <d v="1899-12-30T18:02:00"/>
    <d v="1899-12-30T18:44:00"/>
    <x v="75"/>
    <b v="1"/>
    <s v="berry_boost, lemon"/>
    <s v="berry_boost"/>
    <s v="lemon"/>
    <x v="0"/>
    <x v="0"/>
    <x v="1"/>
  </r>
  <r>
    <n v="118"/>
    <x v="1"/>
    <x v="117"/>
    <x v="22"/>
    <n v="40"/>
    <x v="1"/>
    <x v="4"/>
    <s v="Sat, Sun, Thu, Tue, Wed"/>
    <s v="Sat"/>
    <s v="Sun"/>
    <s v="Thu"/>
    <s v="Tue"/>
    <s v="Wed"/>
    <b v="0"/>
    <s v=""/>
    <m/>
    <m/>
    <m/>
    <d v="1899-12-30T08:23:00"/>
    <d v="1899-12-30T09:19:00"/>
    <x v="81"/>
    <b v="0"/>
    <s v=""/>
    <m/>
    <m/>
    <x v="0"/>
    <x v="0"/>
    <x v="1"/>
  </r>
  <r>
    <n v="119"/>
    <x v="1"/>
    <x v="118"/>
    <x v="1"/>
    <n v="46"/>
    <x v="0"/>
    <x v="1"/>
    <s v="Mon, Sun, Wed"/>
    <s v="Mon"/>
    <s v="Sun"/>
    <s v="Wed"/>
    <m/>
    <m/>
    <b v="1"/>
    <s v="HIT, BodyPump"/>
    <s v="HIT"/>
    <s v="BodyPump"/>
    <m/>
    <d v="1899-12-30T13:30:00"/>
    <d v="1899-12-30T14:37:00"/>
    <x v="82"/>
    <b v="0"/>
    <s v=""/>
    <m/>
    <m/>
    <x v="1"/>
    <x v="3"/>
    <x v="1"/>
  </r>
  <r>
    <n v="120"/>
    <x v="0"/>
    <x v="119"/>
    <x v="22"/>
    <n v="40"/>
    <x v="1"/>
    <x v="1"/>
    <s v="Fri, Tue, Wed"/>
    <s v="Fri"/>
    <s v="Tue"/>
    <s v="Wed"/>
    <m/>
    <m/>
    <b v="0"/>
    <s v=""/>
    <m/>
    <m/>
    <m/>
    <d v="1899-12-30T14:55:00"/>
    <d v="1899-12-30T17:18:00"/>
    <x v="83"/>
    <b v="1"/>
    <s v="passion_fruit"/>
    <s v="passion_fruit"/>
    <m/>
    <x v="1"/>
    <x v="1"/>
    <x v="0"/>
  </r>
  <r>
    <n v="121"/>
    <x v="0"/>
    <x v="120"/>
    <x v="29"/>
    <n v="22"/>
    <x v="0"/>
    <x v="3"/>
    <s v="Sun, Thu"/>
    <s v="Sun"/>
    <s v="Thu"/>
    <m/>
    <m/>
    <m/>
    <b v="1"/>
    <s v="BodyPump, Yoga, Pilates"/>
    <s v="BodyPump"/>
    <s v="Yoga"/>
    <s v="Pilates"/>
    <d v="1899-12-30T19:19:00"/>
    <d v="1899-12-30T20:52:00"/>
    <x v="41"/>
    <b v="1"/>
    <s v="lemon, black_currant"/>
    <s v="lemon"/>
    <s v="black_currant"/>
    <x v="0"/>
    <x v="0"/>
    <x v="1"/>
  </r>
  <r>
    <n v="122"/>
    <x v="0"/>
    <x v="121"/>
    <x v="4"/>
    <n v="43"/>
    <x v="0"/>
    <x v="2"/>
    <s v="Fri"/>
    <s v="Fri"/>
    <m/>
    <m/>
    <m/>
    <m/>
    <b v="1"/>
    <s v="Kickboxen"/>
    <s v="Kickboxen"/>
    <m/>
    <m/>
    <d v="1899-12-30T20:09:00"/>
    <d v="1899-12-30T21:57:00"/>
    <x v="84"/>
    <b v="0"/>
    <s v=""/>
    <m/>
    <m/>
    <x v="0"/>
    <x v="0"/>
    <x v="0"/>
  </r>
  <r>
    <n v="123"/>
    <x v="0"/>
    <x v="122"/>
    <x v="32"/>
    <n v="33"/>
    <x v="1"/>
    <x v="1"/>
    <s v="Mon, Sat, Thu"/>
    <s v="Mon"/>
    <s v="Sat"/>
    <s v="Thu"/>
    <m/>
    <m/>
    <b v="0"/>
    <s v=""/>
    <m/>
    <m/>
    <m/>
    <d v="1899-12-30T09:46:00"/>
    <d v="1899-12-30T12:17:00"/>
    <x v="85"/>
    <b v="0"/>
    <s v=""/>
    <m/>
    <m/>
    <x v="0"/>
    <x v="0"/>
    <x v="1"/>
  </r>
  <r>
    <n v="124"/>
    <x v="0"/>
    <x v="123"/>
    <x v="17"/>
    <n v="14"/>
    <x v="0"/>
    <x v="1"/>
    <s v="Fri, Sat, Wed"/>
    <s v="Fri"/>
    <s v="Sat"/>
    <s v="Wed"/>
    <m/>
    <m/>
    <b v="0"/>
    <s v=""/>
    <m/>
    <m/>
    <m/>
    <d v="1899-12-30T14:40:00"/>
    <d v="1899-12-30T15:53:00"/>
    <x v="86"/>
    <b v="0"/>
    <s v=""/>
    <m/>
    <m/>
    <x v="1"/>
    <x v="4"/>
    <x v="1"/>
  </r>
  <r>
    <n v="125"/>
    <x v="1"/>
    <x v="124"/>
    <x v="17"/>
    <n v="14"/>
    <x v="1"/>
    <x v="1"/>
    <s v="Sat, Sun, Tue"/>
    <s v="Sat"/>
    <s v="Sun"/>
    <s v="Tue"/>
    <m/>
    <m/>
    <b v="0"/>
    <s v=""/>
    <m/>
    <m/>
    <m/>
    <d v="1899-12-30T14:09:00"/>
    <d v="1899-12-30T16:34:00"/>
    <x v="14"/>
    <b v="0"/>
    <s v=""/>
    <m/>
    <m/>
    <x v="1"/>
    <x v="3"/>
    <x v="1"/>
  </r>
  <r>
    <n v="126"/>
    <x v="1"/>
    <x v="125"/>
    <x v="17"/>
    <n v="14"/>
    <x v="1"/>
    <x v="1"/>
    <s v="Mon, Sat, Thu"/>
    <s v="Mon"/>
    <s v="Sat"/>
    <s v="Thu"/>
    <m/>
    <m/>
    <b v="0"/>
    <s v=""/>
    <m/>
    <m/>
    <m/>
    <d v="1899-12-30T08:40:00"/>
    <d v="1899-12-30T10:15:00"/>
    <x v="7"/>
    <b v="0"/>
    <s v=""/>
    <m/>
    <m/>
    <x v="1"/>
    <x v="1"/>
    <x v="0"/>
  </r>
  <r>
    <n v="127"/>
    <x v="0"/>
    <x v="126"/>
    <x v="18"/>
    <n v="19"/>
    <x v="1"/>
    <x v="1"/>
    <s v="Fri, Thu, Tue"/>
    <s v="Fri"/>
    <s v="Thu"/>
    <s v="Tue"/>
    <m/>
    <m/>
    <b v="0"/>
    <s v=""/>
    <m/>
    <m/>
    <m/>
    <d v="1899-12-30T10:58:00"/>
    <d v="1899-12-30T12:22:00"/>
    <x v="63"/>
    <b v="0"/>
    <s v=""/>
    <m/>
    <m/>
    <x v="1"/>
    <x v="4"/>
    <x v="0"/>
  </r>
  <r>
    <n v="128"/>
    <x v="0"/>
    <x v="127"/>
    <x v="16"/>
    <n v="32"/>
    <x v="0"/>
    <x v="1"/>
    <s v="Fri, Sun, Thu"/>
    <s v="Fri"/>
    <s v="Sun"/>
    <s v="Thu"/>
    <m/>
    <m/>
    <b v="0"/>
    <s v=""/>
    <m/>
    <m/>
    <m/>
    <d v="1899-12-30T14:23:00"/>
    <d v="1899-12-30T15:48:00"/>
    <x v="87"/>
    <b v="1"/>
    <s v="passion_fruit, orange"/>
    <s v="passion_fruit"/>
    <s v="orange"/>
    <x v="0"/>
    <x v="0"/>
    <x v="1"/>
  </r>
  <r>
    <n v="129"/>
    <x v="1"/>
    <x v="128"/>
    <x v="21"/>
    <n v="47"/>
    <x v="0"/>
    <x v="2"/>
    <s v="Sun"/>
    <s v="Sun"/>
    <m/>
    <m/>
    <m/>
    <m/>
    <b v="1"/>
    <s v="Running, BodyBalance"/>
    <s v="Running"/>
    <s v="BodyBalance"/>
    <m/>
    <d v="1899-12-30T12:24:00"/>
    <d v="1899-12-30T13:14:00"/>
    <x v="4"/>
    <b v="0"/>
    <s v=""/>
    <m/>
    <m/>
    <x v="1"/>
    <x v="4"/>
    <x v="0"/>
  </r>
  <r>
    <n v="130"/>
    <x v="1"/>
    <x v="129"/>
    <x v="4"/>
    <n v="43"/>
    <x v="0"/>
    <x v="3"/>
    <s v="Sat, Tue"/>
    <s v="Sat"/>
    <s v="Tue"/>
    <m/>
    <m/>
    <m/>
    <b v="0"/>
    <s v=""/>
    <m/>
    <m/>
    <m/>
    <d v="1899-12-30T19:40:00"/>
    <d v="1899-12-30T22:32:00"/>
    <x v="72"/>
    <b v="0"/>
    <s v=""/>
    <m/>
    <m/>
    <x v="1"/>
    <x v="1"/>
    <x v="1"/>
  </r>
  <r>
    <n v="131"/>
    <x v="1"/>
    <x v="130"/>
    <x v="11"/>
    <n v="34"/>
    <x v="1"/>
    <x v="1"/>
    <s v="Fri, Thu, Tue"/>
    <s v="Fri"/>
    <s v="Thu"/>
    <s v="Tue"/>
    <m/>
    <m/>
    <b v="0"/>
    <s v=""/>
    <m/>
    <m/>
    <m/>
    <d v="1899-12-30T15:41:00"/>
    <d v="1899-12-30T17:04:00"/>
    <x v="88"/>
    <b v="1"/>
    <s v="lemon, passion_fruit"/>
    <s v="lemon"/>
    <s v="passion_fruit"/>
    <x v="1"/>
    <x v="4"/>
    <x v="1"/>
  </r>
  <r>
    <n v="132"/>
    <x v="1"/>
    <x v="131"/>
    <x v="19"/>
    <n v="21"/>
    <x v="0"/>
    <x v="2"/>
    <s v="Wed"/>
    <s v="Wed"/>
    <m/>
    <m/>
    <m/>
    <m/>
    <b v="0"/>
    <s v=""/>
    <m/>
    <m/>
    <m/>
    <d v="1899-12-30T18:11:00"/>
    <d v="1899-12-30T20:51:00"/>
    <x v="21"/>
    <b v="1"/>
    <s v="orange"/>
    <s v="orange"/>
    <m/>
    <x v="1"/>
    <x v="4"/>
    <x v="0"/>
  </r>
  <r>
    <n v="133"/>
    <x v="1"/>
    <x v="132"/>
    <x v="0"/>
    <n v="27"/>
    <x v="0"/>
    <x v="3"/>
    <s v="Fri, Tue"/>
    <s v="Fri"/>
    <s v="Tue"/>
    <m/>
    <m/>
    <m/>
    <b v="1"/>
    <s v="Zumba"/>
    <s v="Zumba"/>
    <m/>
    <m/>
    <d v="1899-12-30T11:35:00"/>
    <d v="1899-12-30T13:34:00"/>
    <x v="16"/>
    <b v="1"/>
    <s v="orange"/>
    <s v="orange"/>
    <m/>
    <x v="0"/>
    <x v="0"/>
    <x v="0"/>
  </r>
  <r>
    <n v="134"/>
    <x v="0"/>
    <x v="133"/>
    <x v="34"/>
    <n v="31"/>
    <x v="0"/>
    <x v="4"/>
    <s v="Fri, Mon, Sat, Thu, Wed"/>
    <s v="Fri"/>
    <s v="Mon"/>
    <s v="Sat"/>
    <s v="Thu"/>
    <s v="Wed"/>
    <b v="1"/>
    <s v="Spinning, BodyPump"/>
    <s v="Spinning"/>
    <s v="BodyPump"/>
    <m/>
    <d v="1899-12-30T09:31:00"/>
    <d v="1899-12-30T11:06:00"/>
    <x v="7"/>
    <b v="0"/>
    <s v=""/>
    <m/>
    <m/>
    <x v="1"/>
    <x v="2"/>
    <x v="0"/>
  </r>
  <r>
    <n v="135"/>
    <x v="0"/>
    <x v="134"/>
    <x v="19"/>
    <n v="21"/>
    <x v="1"/>
    <x v="3"/>
    <s v="Sun, Thu"/>
    <s v="Sun"/>
    <s v="Thu"/>
    <m/>
    <m/>
    <m/>
    <b v="0"/>
    <s v=""/>
    <m/>
    <m/>
    <m/>
    <d v="1899-12-30T13:05:00"/>
    <d v="1899-12-30T14:45:00"/>
    <x v="89"/>
    <b v="1"/>
    <s v="passion_fruit"/>
    <s v="passion_fruit"/>
    <m/>
    <x v="1"/>
    <x v="2"/>
    <x v="1"/>
  </r>
  <r>
    <n v="136"/>
    <x v="0"/>
    <x v="135"/>
    <x v="5"/>
    <n v="15"/>
    <x v="1"/>
    <x v="3"/>
    <s v="Mon, Tue"/>
    <s v="Mon"/>
    <s v="Tue"/>
    <m/>
    <m/>
    <m/>
    <b v="0"/>
    <s v=""/>
    <m/>
    <m/>
    <m/>
    <d v="1899-12-30T16:51:00"/>
    <d v="1899-12-30T19:45:00"/>
    <x v="90"/>
    <b v="1"/>
    <s v="coconut_pineapple"/>
    <s v="coconut_pineapple"/>
    <m/>
    <x v="0"/>
    <x v="0"/>
    <x v="1"/>
  </r>
  <r>
    <n v="137"/>
    <x v="0"/>
    <x v="136"/>
    <x v="18"/>
    <n v="20"/>
    <x v="0"/>
    <x v="1"/>
    <s v="Sat, Sun, Thu"/>
    <s v="Sat"/>
    <s v="Sun"/>
    <s v="Thu"/>
    <m/>
    <m/>
    <b v="0"/>
    <s v=""/>
    <m/>
    <m/>
    <m/>
    <d v="1899-12-30T10:32:00"/>
    <d v="1899-12-30T11:09:00"/>
    <x v="91"/>
    <b v="0"/>
    <s v=""/>
    <m/>
    <m/>
    <x v="0"/>
    <x v="0"/>
    <x v="0"/>
  </r>
  <r>
    <n v="138"/>
    <x v="1"/>
    <x v="137"/>
    <x v="12"/>
    <n v="36"/>
    <x v="1"/>
    <x v="2"/>
    <s v="Tue"/>
    <s v="Tue"/>
    <m/>
    <m/>
    <m/>
    <m/>
    <b v="0"/>
    <s v=""/>
    <m/>
    <m/>
    <m/>
    <d v="1899-12-30T20:55:00"/>
    <d v="1899-12-30T22:44:00"/>
    <x v="92"/>
    <b v="1"/>
    <s v="lemon"/>
    <s v="lemon"/>
    <m/>
    <x v="0"/>
    <x v="0"/>
    <x v="0"/>
  </r>
  <r>
    <n v="139"/>
    <x v="0"/>
    <x v="138"/>
    <x v="34"/>
    <n v="31"/>
    <x v="1"/>
    <x v="4"/>
    <s v="Fri, Sun, Thu, Tue, Wed"/>
    <s v="Fri"/>
    <s v="Sun"/>
    <s v="Thu"/>
    <s v="Tue"/>
    <s v="Wed"/>
    <b v="0"/>
    <s v=""/>
    <m/>
    <m/>
    <m/>
    <d v="1899-12-30T19:28:00"/>
    <d v="1899-12-30T20:10:00"/>
    <x v="75"/>
    <b v="0"/>
    <s v=""/>
    <m/>
    <m/>
    <x v="0"/>
    <x v="0"/>
    <x v="1"/>
  </r>
  <r>
    <n v="140"/>
    <x v="0"/>
    <x v="139"/>
    <x v="17"/>
    <n v="14"/>
    <x v="1"/>
    <x v="3"/>
    <s v="Mon, Wed"/>
    <s v="Mon"/>
    <s v="Wed"/>
    <m/>
    <m/>
    <m/>
    <b v="1"/>
    <s v="Spinning, Kickboxen, Zumba"/>
    <s v="Spinning"/>
    <s v="Kickboxen"/>
    <s v="Zumba"/>
    <d v="1899-12-30T10:33:00"/>
    <d v="1899-12-30T12:57:00"/>
    <x v="9"/>
    <b v="1"/>
    <s v="lemon, orange"/>
    <s v="lemon"/>
    <s v="orange"/>
    <x v="0"/>
    <x v="0"/>
    <x v="0"/>
  </r>
  <r>
    <n v="141"/>
    <x v="1"/>
    <x v="140"/>
    <x v="22"/>
    <n v="40"/>
    <x v="0"/>
    <x v="1"/>
    <s v="Mon, Thu, Tue"/>
    <s v="Mon"/>
    <s v="Thu"/>
    <s v="Tue"/>
    <m/>
    <m/>
    <b v="1"/>
    <s v="LesMiles, HIT"/>
    <s v="LesMiles"/>
    <s v="HIT"/>
    <m/>
    <d v="1899-12-30T19:59:00"/>
    <d v="1899-12-30T21:04:00"/>
    <x v="93"/>
    <b v="0"/>
    <s v=""/>
    <m/>
    <m/>
    <x v="1"/>
    <x v="2"/>
    <x v="1"/>
  </r>
  <r>
    <n v="142"/>
    <x v="0"/>
    <x v="141"/>
    <x v="29"/>
    <n v="22"/>
    <x v="1"/>
    <x v="4"/>
    <s v="Fri, Sat, Sun, Tue, Wed"/>
    <s v="Fri"/>
    <s v="Sat"/>
    <s v="Sun"/>
    <s v="Tue"/>
    <s v="Wed"/>
    <b v="1"/>
    <s v="Running, BodyPump, XCore"/>
    <s v="Running"/>
    <s v="BodyPump"/>
    <s v="XCore"/>
    <d v="1899-12-30T08:13:00"/>
    <d v="1899-12-30T09:46:00"/>
    <x v="41"/>
    <b v="0"/>
    <s v=""/>
    <m/>
    <m/>
    <x v="0"/>
    <x v="0"/>
    <x v="0"/>
  </r>
  <r>
    <n v="143"/>
    <x v="0"/>
    <x v="142"/>
    <x v="24"/>
    <n v="16"/>
    <x v="0"/>
    <x v="1"/>
    <s v="Fri, Sun, Wed"/>
    <s v="Fri"/>
    <s v="Sun"/>
    <s v="Wed"/>
    <m/>
    <m/>
    <b v="0"/>
    <s v=""/>
    <m/>
    <m/>
    <m/>
    <d v="1899-12-30T17:21:00"/>
    <d v="1899-12-30T18:46:00"/>
    <x v="87"/>
    <b v="0"/>
    <s v=""/>
    <m/>
    <m/>
    <x v="1"/>
    <x v="1"/>
    <x v="1"/>
  </r>
  <r>
    <n v="144"/>
    <x v="1"/>
    <x v="143"/>
    <x v="36"/>
    <n v="49"/>
    <x v="0"/>
    <x v="1"/>
    <s v="Fri, Thu, Wed"/>
    <s v="Fri"/>
    <s v="Thu"/>
    <s v="Wed"/>
    <m/>
    <m/>
    <b v="1"/>
    <s v="XCore, Zumba, LesMiles"/>
    <s v="XCore"/>
    <s v="Zumba"/>
    <s v="LesMiles"/>
    <d v="1899-12-30T20:30:00"/>
    <d v="1899-12-30T21:24:00"/>
    <x v="55"/>
    <b v="1"/>
    <s v="passion_fruit"/>
    <s v="passion_fruit"/>
    <m/>
    <x v="1"/>
    <x v="3"/>
    <x v="0"/>
  </r>
  <r>
    <n v="145"/>
    <x v="0"/>
    <x v="144"/>
    <x v="17"/>
    <n v="14"/>
    <x v="0"/>
    <x v="1"/>
    <s v="Sat, Sun, Wed"/>
    <s v="Sat"/>
    <s v="Sun"/>
    <s v="Wed"/>
    <m/>
    <m/>
    <b v="0"/>
    <s v=""/>
    <m/>
    <m/>
    <m/>
    <d v="1899-12-30T10:11:00"/>
    <d v="1899-12-30T11:56:00"/>
    <x v="94"/>
    <b v="1"/>
    <s v="lemon, passion_fruit"/>
    <s v="lemon"/>
    <s v="passion_fruit"/>
    <x v="0"/>
    <x v="0"/>
    <x v="0"/>
  </r>
  <r>
    <n v="146"/>
    <x v="0"/>
    <x v="145"/>
    <x v="17"/>
    <n v="14"/>
    <x v="1"/>
    <x v="4"/>
    <s v="Fri, Sat, Sun, Thu, Tue"/>
    <s v="Fri"/>
    <s v="Sat"/>
    <s v="Sun"/>
    <s v="Thu"/>
    <s v="Tue"/>
    <b v="1"/>
    <s v="XCore, Yoga, LesMiles"/>
    <s v="XCore"/>
    <s v="Yoga"/>
    <s v="LesMiles"/>
    <d v="1899-12-30T20:23:00"/>
    <d v="1899-12-30T21:30:00"/>
    <x v="82"/>
    <b v="1"/>
    <s v="black_currant, passion_fruit"/>
    <s v="black_currant"/>
    <s v="passion_fruit"/>
    <x v="1"/>
    <x v="2"/>
    <x v="0"/>
  </r>
  <r>
    <n v="147"/>
    <x v="1"/>
    <x v="146"/>
    <x v="12"/>
    <n v="36"/>
    <x v="1"/>
    <x v="1"/>
    <s v="Fri, Sat, Tue"/>
    <s v="Fri"/>
    <s v="Sat"/>
    <s v="Tue"/>
    <m/>
    <m/>
    <b v="1"/>
    <s v="Running, Yoga, Pilates"/>
    <s v="Running"/>
    <s v="Yoga"/>
    <s v="Pilates"/>
    <d v="1899-12-30T18:19:00"/>
    <d v="1899-12-30T19:47:00"/>
    <x v="58"/>
    <b v="0"/>
    <s v=""/>
    <m/>
    <m/>
    <x v="0"/>
    <x v="0"/>
    <x v="1"/>
  </r>
  <r>
    <n v="148"/>
    <x v="1"/>
    <x v="147"/>
    <x v="12"/>
    <n v="36"/>
    <x v="0"/>
    <x v="3"/>
    <s v="Mon, Sat"/>
    <s v="Mon"/>
    <s v="Sat"/>
    <m/>
    <m/>
    <m/>
    <b v="1"/>
    <s v="BodyPump, Kickboxen, Zumba"/>
    <s v="BodyPump"/>
    <s v="Kickboxen"/>
    <s v="Zumba"/>
    <d v="1899-12-30T09:08:00"/>
    <d v="1899-12-30T11:19:00"/>
    <x v="95"/>
    <b v="1"/>
    <s v="orange, berry_boost"/>
    <s v="orange"/>
    <s v="berry_boost"/>
    <x v="1"/>
    <x v="2"/>
    <x v="1"/>
  </r>
  <r>
    <n v="149"/>
    <x v="1"/>
    <x v="148"/>
    <x v="9"/>
    <n v="26"/>
    <x v="1"/>
    <x v="3"/>
    <s v="Sat, Thu"/>
    <s v="Sat"/>
    <s v="Thu"/>
    <m/>
    <m/>
    <m/>
    <b v="0"/>
    <s v=""/>
    <m/>
    <m/>
    <m/>
    <d v="1899-12-30T17:57:00"/>
    <d v="1899-12-30T20:08:00"/>
    <x v="95"/>
    <b v="0"/>
    <s v=""/>
    <m/>
    <m/>
    <x v="0"/>
    <x v="0"/>
    <x v="1"/>
  </r>
  <r>
    <n v="150"/>
    <x v="1"/>
    <x v="149"/>
    <x v="18"/>
    <n v="19"/>
    <x v="0"/>
    <x v="2"/>
    <s v="Sat"/>
    <s v="Sat"/>
    <m/>
    <m/>
    <m/>
    <m/>
    <b v="0"/>
    <s v=""/>
    <m/>
    <m/>
    <m/>
    <d v="1899-12-30T16:10:00"/>
    <d v="1899-12-30T17:20:00"/>
    <x v="96"/>
    <b v="0"/>
    <s v=""/>
    <m/>
    <m/>
    <x v="1"/>
    <x v="2"/>
    <x v="0"/>
  </r>
  <r>
    <n v="151"/>
    <x v="1"/>
    <x v="150"/>
    <x v="25"/>
    <n v="29"/>
    <x v="0"/>
    <x v="3"/>
    <s v="Fri, Mon"/>
    <s v="Fri"/>
    <s v="Mon"/>
    <m/>
    <m/>
    <m/>
    <b v="1"/>
    <s v="Pilates, HIT"/>
    <s v="Pilates"/>
    <s v="HIT"/>
    <m/>
    <d v="1899-12-30T20:15:00"/>
    <d v="1899-12-30T22:05:00"/>
    <x v="97"/>
    <b v="0"/>
    <s v=""/>
    <m/>
    <m/>
    <x v="0"/>
    <x v="0"/>
    <x v="0"/>
  </r>
  <r>
    <n v="152"/>
    <x v="1"/>
    <x v="151"/>
    <x v="9"/>
    <n v="27"/>
    <x v="0"/>
    <x v="3"/>
    <s v="Thu, Wed"/>
    <s v="Thu"/>
    <s v="Wed"/>
    <m/>
    <m/>
    <m/>
    <b v="0"/>
    <s v=""/>
    <m/>
    <m/>
    <m/>
    <d v="1899-12-30T20:44:00"/>
    <d v="1899-12-30T21:57:00"/>
    <x v="86"/>
    <b v="0"/>
    <s v=""/>
    <m/>
    <m/>
    <x v="1"/>
    <x v="4"/>
    <x v="0"/>
  </r>
  <r>
    <n v="153"/>
    <x v="1"/>
    <x v="152"/>
    <x v="21"/>
    <n v="47"/>
    <x v="0"/>
    <x v="3"/>
    <s v="Fri, Tue"/>
    <s v="Fri"/>
    <s v="Tue"/>
    <m/>
    <m/>
    <m/>
    <b v="1"/>
    <s v="Running, BodyPump"/>
    <s v="Running"/>
    <s v="BodyPump"/>
    <m/>
    <d v="1899-12-30T16:41:00"/>
    <d v="1899-12-30T18:02:00"/>
    <x v="27"/>
    <b v="1"/>
    <s v="passion_fruit, orange"/>
    <s v="passion_fruit"/>
    <s v="orange"/>
    <x v="1"/>
    <x v="1"/>
    <x v="0"/>
  </r>
  <r>
    <n v="154"/>
    <x v="1"/>
    <x v="153"/>
    <x v="33"/>
    <n v="39"/>
    <x v="1"/>
    <x v="3"/>
    <s v="Tue, Wed"/>
    <s v="Tue"/>
    <s v="Wed"/>
    <m/>
    <m/>
    <m/>
    <b v="1"/>
    <s v="Kickboxen, BodyPump"/>
    <s v="Kickboxen"/>
    <s v="BodyPump"/>
    <m/>
    <d v="1899-12-30T11:18:00"/>
    <d v="1899-12-30T13:28:00"/>
    <x v="28"/>
    <b v="1"/>
    <s v="lemon, black_currant"/>
    <s v="lemon"/>
    <s v="black_currant"/>
    <x v="1"/>
    <x v="2"/>
    <x v="1"/>
  </r>
  <r>
    <n v="155"/>
    <x v="1"/>
    <x v="154"/>
    <x v="21"/>
    <n v="47"/>
    <x v="1"/>
    <x v="2"/>
    <s v="Fri"/>
    <s v="Fri"/>
    <m/>
    <m/>
    <m/>
    <m/>
    <b v="0"/>
    <s v=""/>
    <m/>
    <m/>
    <m/>
    <d v="1899-12-30T14:41:00"/>
    <d v="1899-12-30T15:21:00"/>
    <x v="77"/>
    <b v="1"/>
    <s v="orange"/>
    <s v="orange"/>
    <m/>
    <x v="1"/>
    <x v="4"/>
    <x v="1"/>
  </r>
  <r>
    <n v="156"/>
    <x v="0"/>
    <x v="155"/>
    <x v="7"/>
    <n v="20"/>
    <x v="0"/>
    <x v="3"/>
    <s v="Fri, Sat"/>
    <s v="Fri"/>
    <s v="Sat"/>
    <m/>
    <m/>
    <m/>
    <b v="0"/>
    <s v=""/>
    <m/>
    <m/>
    <m/>
    <d v="1899-12-30T18:54:00"/>
    <d v="1899-12-30T19:37:00"/>
    <x v="53"/>
    <b v="1"/>
    <s v="passion_fruit"/>
    <s v="passion_fruit"/>
    <m/>
    <x v="1"/>
    <x v="1"/>
    <x v="0"/>
  </r>
  <r>
    <n v="157"/>
    <x v="0"/>
    <x v="156"/>
    <x v="18"/>
    <n v="20"/>
    <x v="1"/>
    <x v="0"/>
    <s v="Fri, Thu, Tue, Wed"/>
    <s v="Fri"/>
    <s v="Thu"/>
    <s v="Tue"/>
    <s v="Wed"/>
    <m/>
    <b v="0"/>
    <s v=""/>
    <m/>
    <m/>
    <m/>
    <d v="1899-12-30T11:51:00"/>
    <d v="1899-12-30T14:21:00"/>
    <x v="98"/>
    <b v="1"/>
    <s v="passion_fruit"/>
    <s v="passion_fruit"/>
    <m/>
    <x v="1"/>
    <x v="3"/>
    <x v="1"/>
  </r>
  <r>
    <n v="158"/>
    <x v="1"/>
    <x v="157"/>
    <x v="29"/>
    <n v="22"/>
    <x v="1"/>
    <x v="3"/>
    <s v="Fri, Sat"/>
    <s v="Fri"/>
    <s v="Sat"/>
    <m/>
    <m/>
    <m/>
    <b v="0"/>
    <s v=""/>
    <m/>
    <m/>
    <m/>
    <d v="1899-12-30T14:12:00"/>
    <d v="1899-12-30T16:43:00"/>
    <x v="85"/>
    <b v="1"/>
    <s v="orange"/>
    <s v="orange"/>
    <m/>
    <x v="1"/>
    <x v="2"/>
    <x v="0"/>
  </r>
  <r>
    <n v="159"/>
    <x v="0"/>
    <x v="158"/>
    <x v="29"/>
    <n v="22"/>
    <x v="1"/>
    <x v="1"/>
    <s v="Sat, Sun, Wed"/>
    <s v="Sat"/>
    <s v="Sun"/>
    <s v="Wed"/>
    <m/>
    <m/>
    <b v="1"/>
    <s v="Kickboxen, HIT"/>
    <s v="Kickboxen"/>
    <s v="HIT"/>
    <m/>
    <d v="1899-12-30T17:57:00"/>
    <d v="1899-12-30T19:46:00"/>
    <x v="92"/>
    <b v="0"/>
    <s v=""/>
    <m/>
    <m/>
    <x v="1"/>
    <x v="4"/>
    <x v="1"/>
  </r>
  <r>
    <n v="160"/>
    <x v="0"/>
    <x v="159"/>
    <x v="8"/>
    <n v="24"/>
    <x v="0"/>
    <x v="1"/>
    <s v="Mon, Thu, Wed"/>
    <s v="Mon"/>
    <s v="Thu"/>
    <s v="Wed"/>
    <m/>
    <m/>
    <b v="1"/>
    <s v="BodyBalance, Kickboxen, Spinning"/>
    <s v="BodyBalance"/>
    <s v="Kickboxen"/>
    <s v="Spinning"/>
    <d v="1899-12-30T15:17:00"/>
    <d v="1899-12-30T16:04:00"/>
    <x v="99"/>
    <b v="0"/>
    <s v=""/>
    <m/>
    <m/>
    <x v="1"/>
    <x v="4"/>
    <x v="0"/>
  </r>
  <r>
    <n v="161"/>
    <x v="0"/>
    <x v="160"/>
    <x v="31"/>
    <n v="17"/>
    <x v="1"/>
    <x v="1"/>
    <s v="Sat, Thu, Tue"/>
    <s v="Sat"/>
    <s v="Thu"/>
    <s v="Tue"/>
    <m/>
    <m/>
    <b v="1"/>
    <s v="XCore"/>
    <s v="XCore"/>
    <m/>
    <m/>
    <d v="1899-12-30T15:41:00"/>
    <d v="1899-12-30T16:58:00"/>
    <x v="71"/>
    <b v="1"/>
    <s v="berry_boost, lemon"/>
    <s v="berry_boost"/>
    <s v="lemon"/>
    <x v="1"/>
    <x v="1"/>
    <x v="1"/>
  </r>
  <r>
    <n v="162"/>
    <x v="1"/>
    <x v="161"/>
    <x v="25"/>
    <n v="29"/>
    <x v="1"/>
    <x v="2"/>
    <s v="Sun"/>
    <s v="Sun"/>
    <m/>
    <m/>
    <m/>
    <m/>
    <b v="0"/>
    <s v=""/>
    <m/>
    <m/>
    <m/>
    <d v="1899-12-30T17:00:00"/>
    <d v="1899-12-30T18:33:00"/>
    <x v="41"/>
    <b v="1"/>
    <s v="lemon"/>
    <s v="lemon"/>
    <m/>
    <x v="0"/>
    <x v="0"/>
    <x v="0"/>
  </r>
  <r>
    <n v="163"/>
    <x v="1"/>
    <x v="162"/>
    <x v="12"/>
    <n v="36"/>
    <x v="0"/>
    <x v="1"/>
    <s v="Sat, Thu, Wed"/>
    <s v="Sat"/>
    <s v="Thu"/>
    <s v="Wed"/>
    <m/>
    <m/>
    <b v="0"/>
    <s v=""/>
    <m/>
    <m/>
    <m/>
    <d v="1899-12-30T08:42:00"/>
    <d v="1899-12-30T11:31:00"/>
    <x v="76"/>
    <b v="1"/>
    <s v="berry_boost"/>
    <s v="berry_boost"/>
    <m/>
    <x v="1"/>
    <x v="3"/>
    <x v="0"/>
  </r>
  <r>
    <n v="164"/>
    <x v="1"/>
    <x v="163"/>
    <x v="7"/>
    <n v="20"/>
    <x v="1"/>
    <x v="4"/>
    <s v="Mon, Sat, Thu, Tue, Wed"/>
    <s v="Mon"/>
    <s v="Sat"/>
    <s v="Thu"/>
    <s v="Tue"/>
    <s v="Wed"/>
    <b v="0"/>
    <s v=""/>
    <m/>
    <m/>
    <m/>
    <d v="1899-12-30T17:41:00"/>
    <d v="1899-12-30T20:22:00"/>
    <x v="15"/>
    <b v="0"/>
    <s v=""/>
    <m/>
    <m/>
    <x v="0"/>
    <x v="0"/>
    <x v="1"/>
  </r>
  <r>
    <n v="165"/>
    <x v="1"/>
    <x v="164"/>
    <x v="25"/>
    <n v="29"/>
    <x v="1"/>
    <x v="3"/>
    <s v="Fri, Sat"/>
    <s v="Fri"/>
    <s v="Sat"/>
    <m/>
    <m/>
    <m/>
    <b v="1"/>
    <s v="Zumba"/>
    <s v="Zumba"/>
    <m/>
    <m/>
    <d v="1899-12-30T14:45:00"/>
    <d v="1899-12-30T17:41:00"/>
    <x v="100"/>
    <b v="0"/>
    <s v=""/>
    <m/>
    <m/>
    <x v="1"/>
    <x v="1"/>
    <x v="0"/>
  </r>
  <r>
    <n v="166"/>
    <x v="1"/>
    <x v="165"/>
    <x v="34"/>
    <n v="32"/>
    <x v="0"/>
    <x v="1"/>
    <s v="Sat, Tue, Wed"/>
    <s v="Sat"/>
    <s v="Tue"/>
    <s v="Wed"/>
    <m/>
    <m/>
    <b v="0"/>
    <s v=""/>
    <m/>
    <m/>
    <m/>
    <d v="1899-12-30T20:34:00"/>
    <d v="1899-12-30T21:40:00"/>
    <x v="66"/>
    <b v="0"/>
    <s v=""/>
    <m/>
    <m/>
    <x v="1"/>
    <x v="1"/>
    <x v="0"/>
  </r>
  <r>
    <n v="167"/>
    <x v="0"/>
    <x v="166"/>
    <x v="20"/>
    <n v="42"/>
    <x v="0"/>
    <x v="0"/>
    <s v="Fri, Mon, Thu, Tue"/>
    <s v="Fri"/>
    <s v="Mon"/>
    <s v="Thu"/>
    <s v="Tue"/>
    <m/>
    <b v="1"/>
    <s v="Running"/>
    <s v="Running"/>
    <m/>
    <m/>
    <d v="1899-12-30T09:55:00"/>
    <d v="1899-12-30T10:59:00"/>
    <x v="101"/>
    <b v="0"/>
    <s v=""/>
    <m/>
    <m/>
    <x v="0"/>
    <x v="0"/>
    <x v="0"/>
  </r>
  <r>
    <n v="168"/>
    <x v="1"/>
    <x v="167"/>
    <x v="14"/>
    <n v="14"/>
    <x v="1"/>
    <x v="1"/>
    <s v="Mon, Sun, Thu"/>
    <s v="Mon"/>
    <s v="Sun"/>
    <s v="Thu"/>
    <m/>
    <m/>
    <b v="1"/>
    <s v="Running, BodyBalance, Kickboxen"/>
    <s v="Running"/>
    <s v="BodyBalance"/>
    <s v="Kickboxen"/>
    <d v="1899-12-30T12:27:00"/>
    <d v="1899-12-30T14:16:00"/>
    <x v="92"/>
    <b v="0"/>
    <s v=""/>
    <m/>
    <m/>
    <x v="0"/>
    <x v="0"/>
    <x v="0"/>
  </r>
  <r>
    <n v="169"/>
    <x v="0"/>
    <x v="168"/>
    <x v="10"/>
    <n v="35"/>
    <x v="0"/>
    <x v="1"/>
    <s v="Fri, Thu, Tue"/>
    <s v="Fri"/>
    <s v="Thu"/>
    <s v="Tue"/>
    <m/>
    <m/>
    <b v="1"/>
    <s v="Kickboxen, Spinning, BodyPump"/>
    <s v="Kickboxen"/>
    <s v="Spinning"/>
    <s v="BodyPump"/>
    <d v="1899-12-30T13:32:00"/>
    <d v="1899-12-30T16:19:00"/>
    <x v="17"/>
    <b v="0"/>
    <s v=""/>
    <m/>
    <m/>
    <x v="0"/>
    <x v="0"/>
    <x v="1"/>
  </r>
  <r>
    <n v="170"/>
    <x v="1"/>
    <x v="169"/>
    <x v="4"/>
    <n v="43"/>
    <x v="1"/>
    <x v="1"/>
    <s v="Fri, Sun, Tue"/>
    <s v="Fri"/>
    <s v="Sun"/>
    <s v="Tue"/>
    <m/>
    <m/>
    <b v="0"/>
    <s v=""/>
    <m/>
    <m/>
    <m/>
    <d v="1899-12-30T12:12:00"/>
    <d v="1899-12-30T13:08:00"/>
    <x v="81"/>
    <b v="1"/>
    <s v="passion_fruit, lemon"/>
    <s v="passion_fruit"/>
    <s v="lemon"/>
    <x v="1"/>
    <x v="2"/>
    <x v="1"/>
  </r>
  <r>
    <n v="171"/>
    <x v="0"/>
    <x v="170"/>
    <x v="13"/>
    <n v="37"/>
    <x v="1"/>
    <x v="2"/>
    <s v="Sun"/>
    <s v="Sun"/>
    <m/>
    <m/>
    <m/>
    <m/>
    <b v="0"/>
    <s v=""/>
    <m/>
    <m/>
    <m/>
    <d v="1899-12-30T16:39:00"/>
    <d v="1899-12-30T19:05:00"/>
    <x v="19"/>
    <b v="1"/>
    <s v="lemon"/>
    <s v="lemon"/>
    <m/>
    <x v="1"/>
    <x v="4"/>
    <x v="1"/>
  </r>
  <r>
    <n v="172"/>
    <x v="0"/>
    <x v="171"/>
    <x v="36"/>
    <n v="49"/>
    <x v="1"/>
    <x v="4"/>
    <s v="Sat, Sun, Thu, Tue, Wed"/>
    <s v="Sat"/>
    <s v="Sun"/>
    <s v="Thu"/>
    <s v="Tue"/>
    <s v="Wed"/>
    <b v="1"/>
    <s v="Pilates"/>
    <s v="Pilates"/>
    <m/>
    <m/>
    <d v="1899-12-30T08:15:00"/>
    <d v="1899-12-30T08:50:00"/>
    <x v="49"/>
    <b v="0"/>
    <s v=""/>
    <m/>
    <m/>
    <x v="0"/>
    <x v="0"/>
    <x v="1"/>
  </r>
  <r>
    <n v="173"/>
    <x v="1"/>
    <x v="172"/>
    <x v="21"/>
    <n v="47"/>
    <x v="1"/>
    <x v="3"/>
    <s v="Sun, Thu"/>
    <s v="Sun"/>
    <s v="Thu"/>
    <m/>
    <m/>
    <m/>
    <b v="0"/>
    <s v=""/>
    <m/>
    <m/>
    <m/>
    <d v="1899-12-30T16:55:00"/>
    <d v="1899-12-30T19:13:00"/>
    <x v="102"/>
    <b v="1"/>
    <s v="black_currant"/>
    <s v="black_currant"/>
    <m/>
    <x v="0"/>
    <x v="0"/>
    <x v="0"/>
  </r>
  <r>
    <n v="174"/>
    <x v="1"/>
    <x v="173"/>
    <x v="36"/>
    <n v="49"/>
    <x v="0"/>
    <x v="2"/>
    <s v="Sat"/>
    <s v="Sat"/>
    <m/>
    <m/>
    <m/>
    <m/>
    <b v="0"/>
    <s v=""/>
    <m/>
    <m/>
    <m/>
    <d v="1899-12-30T11:21:00"/>
    <d v="1899-12-30T12:46:00"/>
    <x v="87"/>
    <b v="0"/>
    <s v=""/>
    <m/>
    <m/>
    <x v="0"/>
    <x v="0"/>
    <x v="0"/>
  </r>
  <r>
    <n v="175"/>
    <x v="1"/>
    <x v="174"/>
    <x v="23"/>
    <n v="19"/>
    <x v="1"/>
    <x v="3"/>
    <s v="Mon, Tue"/>
    <s v="Mon"/>
    <s v="Tue"/>
    <m/>
    <m/>
    <m/>
    <b v="1"/>
    <s v="Yoga"/>
    <s v="Yoga"/>
    <m/>
    <m/>
    <d v="1899-12-30T14:01:00"/>
    <d v="1899-12-30T15:56:00"/>
    <x v="103"/>
    <b v="0"/>
    <s v=""/>
    <m/>
    <m/>
    <x v="0"/>
    <x v="0"/>
    <x v="1"/>
  </r>
  <r>
    <n v="176"/>
    <x v="1"/>
    <x v="175"/>
    <x v="27"/>
    <n v="48"/>
    <x v="1"/>
    <x v="0"/>
    <s v="Fri, Thu, Tue, Wed"/>
    <s v="Fri"/>
    <s v="Thu"/>
    <s v="Tue"/>
    <s v="Wed"/>
    <m/>
    <b v="0"/>
    <s v=""/>
    <m/>
    <m/>
    <m/>
    <d v="1899-12-30T09:34:00"/>
    <d v="1899-12-30T10:11:00"/>
    <x v="91"/>
    <b v="0"/>
    <s v=""/>
    <m/>
    <m/>
    <x v="0"/>
    <x v="0"/>
    <x v="1"/>
  </r>
  <r>
    <n v="177"/>
    <x v="0"/>
    <x v="176"/>
    <x v="30"/>
    <n v="23"/>
    <x v="0"/>
    <x v="1"/>
    <s v="Mon, Sun, Thu"/>
    <s v="Mon"/>
    <s v="Sun"/>
    <s v="Thu"/>
    <m/>
    <m/>
    <b v="0"/>
    <s v=""/>
    <m/>
    <m/>
    <m/>
    <d v="1899-12-30T09:56:00"/>
    <d v="1899-12-30T11:20:00"/>
    <x v="63"/>
    <b v="1"/>
    <s v="berry_boost, coconut_pineapple"/>
    <s v="berry_boost"/>
    <s v="coconut_pineapple"/>
    <x v="1"/>
    <x v="1"/>
    <x v="1"/>
  </r>
  <r>
    <n v="178"/>
    <x v="1"/>
    <x v="177"/>
    <x v="30"/>
    <n v="23"/>
    <x v="0"/>
    <x v="0"/>
    <s v="Fri, Mon, Thu, Wed"/>
    <s v="Fri"/>
    <s v="Mon"/>
    <s v="Thu"/>
    <s v="Wed"/>
    <m/>
    <b v="0"/>
    <s v=""/>
    <m/>
    <m/>
    <m/>
    <d v="1899-12-30T11:02:00"/>
    <d v="1899-12-30T11:44:00"/>
    <x v="75"/>
    <b v="0"/>
    <s v=""/>
    <m/>
    <m/>
    <x v="1"/>
    <x v="1"/>
    <x v="1"/>
  </r>
  <r>
    <n v="179"/>
    <x v="0"/>
    <x v="178"/>
    <x v="14"/>
    <n v="13"/>
    <x v="1"/>
    <x v="3"/>
    <s v="Mon, Tue"/>
    <s v="Mon"/>
    <s v="Tue"/>
    <m/>
    <m/>
    <m/>
    <b v="0"/>
    <s v=""/>
    <m/>
    <m/>
    <m/>
    <d v="1899-12-30T17:27:00"/>
    <d v="1899-12-30T19:12:00"/>
    <x v="94"/>
    <b v="0"/>
    <s v=""/>
    <m/>
    <m/>
    <x v="0"/>
    <x v="0"/>
    <x v="1"/>
  </r>
  <r>
    <n v="180"/>
    <x v="1"/>
    <x v="179"/>
    <x v="27"/>
    <n v="48"/>
    <x v="0"/>
    <x v="1"/>
    <s v="Fri, Sat, Thu"/>
    <s v="Fri"/>
    <s v="Sat"/>
    <s v="Thu"/>
    <m/>
    <m/>
    <b v="1"/>
    <s v="Kickboxen, Running, LesMiles"/>
    <s v="Kickboxen"/>
    <s v="Running"/>
    <s v="LesMiles"/>
    <d v="1899-12-30T08:33:00"/>
    <d v="1899-12-30T10:13:00"/>
    <x v="89"/>
    <b v="1"/>
    <s v="passion_fruit"/>
    <s v="passion_fruit"/>
    <m/>
    <x v="1"/>
    <x v="3"/>
    <x v="0"/>
  </r>
  <r>
    <n v="181"/>
    <x v="1"/>
    <x v="180"/>
    <x v="0"/>
    <n v="27"/>
    <x v="0"/>
    <x v="4"/>
    <s v="Mon, Sat, Sun, Thu, Tue"/>
    <s v="Mon"/>
    <s v="Sat"/>
    <s v="Sun"/>
    <s v="Thu"/>
    <s v="Tue"/>
    <b v="1"/>
    <s v="Kickboxen, XCore"/>
    <s v="Kickboxen"/>
    <s v="XCore"/>
    <m/>
    <d v="1899-12-30T10:50:00"/>
    <d v="1899-12-30T13:38:00"/>
    <x v="104"/>
    <b v="1"/>
    <s v="lemon, black_currant"/>
    <s v="lemon"/>
    <s v="black_currant"/>
    <x v="0"/>
    <x v="0"/>
    <x v="0"/>
  </r>
  <r>
    <n v="182"/>
    <x v="0"/>
    <x v="181"/>
    <x v="17"/>
    <n v="14"/>
    <x v="1"/>
    <x v="1"/>
    <s v="Mon, Sun, Wed"/>
    <s v="Mon"/>
    <s v="Sun"/>
    <s v="Wed"/>
    <m/>
    <m/>
    <b v="1"/>
    <s v="XCore"/>
    <s v="XCore"/>
    <m/>
    <m/>
    <d v="1899-12-30T09:01:00"/>
    <d v="1899-12-30T11:57:00"/>
    <x v="100"/>
    <b v="0"/>
    <s v=""/>
    <m/>
    <m/>
    <x v="1"/>
    <x v="1"/>
    <x v="0"/>
  </r>
  <r>
    <n v="183"/>
    <x v="1"/>
    <x v="182"/>
    <x v="17"/>
    <n v="14"/>
    <x v="0"/>
    <x v="2"/>
    <s v="Fri"/>
    <s v="Fri"/>
    <m/>
    <m/>
    <m/>
    <m/>
    <b v="0"/>
    <s v=""/>
    <m/>
    <m/>
    <m/>
    <d v="1899-12-30T13:06:00"/>
    <d v="1899-12-30T14:29:00"/>
    <x v="88"/>
    <b v="0"/>
    <s v=""/>
    <m/>
    <m/>
    <x v="0"/>
    <x v="0"/>
    <x v="0"/>
  </r>
  <r>
    <n v="184"/>
    <x v="1"/>
    <x v="183"/>
    <x v="31"/>
    <n v="17"/>
    <x v="1"/>
    <x v="2"/>
    <s v="Mon"/>
    <s v="Mon"/>
    <m/>
    <m/>
    <m/>
    <m/>
    <b v="0"/>
    <s v=""/>
    <m/>
    <m/>
    <m/>
    <d v="1899-12-30T17:58:00"/>
    <d v="1899-12-30T20:04:00"/>
    <x v="70"/>
    <b v="0"/>
    <s v=""/>
    <m/>
    <m/>
    <x v="1"/>
    <x v="4"/>
    <x v="1"/>
  </r>
  <r>
    <n v="185"/>
    <x v="1"/>
    <x v="184"/>
    <x v="15"/>
    <n v="39"/>
    <x v="1"/>
    <x v="3"/>
    <s v="Mon, Tue"/>
    <s v="Mon"/>
    <s v="Tue"/>
    <m/>
    <m/>
    <m/>
    <b v="1"/>
    <s v="Running, XCore"/>
    <s v="Running"/>
    <s v="XCore"/>
    <m/>
    <d v="1899-12-30T09:20:00"/>
    <d v="1899-12-30T09:52:00"/>
    <x v="105"/>
    <b v="1"/>
    <s v="berry_boost"/>
    <s v="berry_boost"/>
    <m/>
    <x v="0"/>
    <x v="0"/>
    <x v="1"/>
  </r>
  <r>
    <n v="186"/>
    <x v="0"/>
    <x v="185"/>
    <x v="36"/>
    <n v="49"/>
    <x v="1"/>
    <x v="1"/>
    <s v="Fri, Sun, Wed"/>
    <s v="Fri"/>
    <s v="Sun"/>
    <s v="Wed"/>
    <m/>
    <m/>
    <b v="0"/>
    <s v=""/>
    <m/>
    <m/>
    <m/>
    <d v="1899-12-30T17:42:00"/>
    <d v="1899-12-30T19:00:00"/>
    <x v="106"/>
    <b v="1"/>
    <s v="passion_fruit"/>
    <s v="passion_fruit"/>
    <m/>
    <x v="1"/>
    <x v="2"/>
    <x v="0"/>
  </r>
  <r>
    <n v="187"/>
    <x v="1"/>
    <x v="186"/>
    <x v="35"/>
    <n v="12"/>
    <x v="1"/>
    <x v="4"/>
    <s v="Fri, Sat, Sun, Thu, Wed"/>
    <s v="Fri"/>
    <s v="Sat"/>
    <s v="Sun"/>
    <s v="Thu"/>
    <s v="Wed"/>
    <b v="1"/>
    <s v="Pilates, Kickboxen, BodyPump"/>
    <s v="Pilates"/>
    <s v="Kickboxen"/>
    <s v="BodyPump"/>
    <d v="1899-12-30T19:49:00"/>
    <d v="1899-12-30T22:15:00"/>
    <x v="19"/>
    <b v="1"/>
    <s v="lemon, orange"/>
    <s v="lemon"/>
    <s v="orange"/>
    <x v="1"/>
    <x v="2"/>
    <x v="1"/>
  </r>
  <r>
    <n v="188"/>
    <x v="0"/>
    <x v="187"/>
    <x v="13"/>
    <n v="37"/>
    <x v="0"/>
    <x v="2"/>
    <s v="Sat"/>
    <s v="Sat"/>
    <m/>
    <m/>
    <m/>
    <m/>
    <b v="1"/>
    <s v="Yoga"/>
    <s v="Yoga"/>
    <m/>
    <m/>
    <d v="1899-12-30T08:21:00"/>
    <d v="1899-12-30T08:55:00"/>
    <x v="107"/>
    <b v="1"/>
    <s v="lemon, coconut_pineapple"/>
    <s v="lemon"/>
    <s v="coconut_pineapple"/>
    <x v="0"/>
    <x v="0"/>
    <x v="1"/>
  </r>
  <r>
    <n v="189"/>
    <x v="1"/>
    <x v="188"/>
    <x v="12"/>
    <n v="36"/>
    <x v="0"/>
    <x v="3"/>
    <s v="Fri, Tue"/>
    <s v="Fri"/>
    <s v="Tue"/>
    <m/>
    <m/>
    <m/>
    <b v="1"/>
    <s v="Spinning, XCore"/>
    <s v="Spinning"/>
    <s v="XCore"/>
    <m/>
    <d v="1899-12-30T11:28:00"/>
    <d v="1899-12-30T14:14:00"/>
    <x v="57"/>
    <b v="0"/>
    <s v=""/>
    <m/>
    <m/>
    <x v="0"/>
    <x v="0"/>
    <x v="0"/>
  </r>
  <r>
    <n v="190"/>
    <x v="1"/>
    <x v="189"/>
    <x v="35"/>
    <n v="13"/>
    <x v="1"/>
    <x v="0"/>
    <s v="Sat, Sun, Thu, Tue"/>
    <s v="Sat"/>
    <s v="Sun"/>
    <s v="Thu"/>
    <s v="Tue"/>
    <m/>
    <b v="0"/>
    <s v=""/>
    <m/>
    <m/>
    <m/>
    <d v="1899-12-30T14:47:00"/>
    <d v="1899-12-30T15:21:00"/>
    <x v="107"/>
    <b v="0"/>
    <s v=""/>
    <m/>
    <m/>
    <x v="0"/>
    <x v="0"/>
    <x v="1"/>
  </r>
  <r>
    <n v="191"/>
    <x v="1"/>
    <x v="190"/>
    <x v="34"/>
    <n v="31"/>
    <x v="0"/>
    <x v="3"/>
    <s v="Mon, Wed"/>
    <s v="Mon"/>
    <s v="Wed"/>
    <m/>
    <m/>
    <m/>
    <b v="0"/>
    <s v=""/>
    <m/>
    <m/>
    <m/>
    <d v="1899-12-30T13:48:00"/>
    <d v="1899-12-30T16:42:00"/>
    <x v="90"/>
    <b v="0"/>
    <s v=""/>
    <m/>
    <m/>
    <x v="0"/>
    <x v="0"/>
    <x v="1"/>
  </r>
  <r>
    <n v="192"/>
    <x v="0"/>
    <x v="191"/>
    <x v="33"/>
    <n v="39"/>
    <x v="1"/>
    <x v="0"/>
    <s v="Mon, Sat, Sun, Thu"/>
    <s v="Mon"/>
    <s v="Sat"/>
    <s v="Sun"/>
    <s v="Thu"/>
    <m/>
    <b v="0"/>
    <s v=""/>
    <m/>
    <m/>
    <m/>
    <d v="1899-12-30T17:07:00"/>
    <d v="1899-12-30T17:55:00"/>
    <x v="1"/>
    <b v="0"/>
    <s v=""/>
    <m/>
    <m/>
    <x v="0"/>
    <x v="0"/>
    <x v="0"/>
  </r>
  <r>
    <n v="193"/>
    <x v="0"/>
    <x v="192"/>
    <x v="35"/>
    <n v="12"/>
    <x v="0"/>
    <x v="1"/>
    <s v="Sun, Thu, Tue"/>
    <s v="Sun"/>
    <s v="Thu"/>
    <s v="Tue"/>
    <m/>
    <m/>
    <b v="1"/>
    <s v="Zumba, BodyPump, XCore"/>
    <s v="Zumba"/>
    <s v="BodyPump"/>
    <s v="XCore"/>
    <d v="1899-12-30T13:57:00"/>
    <d v="1899-12-30T15:10:00"/>
    <x v="86"/>
    <b v="0"/>
    <s v=""/>
    <m/>
    <m/>
    <x v="0"/>
    <x v="0"/>
    <x v="0"/>
  </r>
  <r>
    <n v="194"/>
    <x v="0"/>
    <x v="193"/>
    <x v="30"/>
    <n v="23"/>
    <x v="0"/>
    <x v="2"/>
    <s v="Tue"/>
    <s v="Tue"/>
    <m/>
    <m/>
    <m/>
    <m/>
    <b v="0"/>
    <s v=""/>
    <m/>
    <m/>
    <m/>
    <d v="1899-12-30T16:54:00"/>
    <d v="1899-12-30T19:49:00"/>
    <x v="37"/>
    <b v="1"/>
    <s v="passion_fruit, berry_boost"/>
    <s v="passion_fruit"/>
    <s v="berry_boost"/>
    <x v="0"/>
    <x v="0"/>
    <x v="1"/>
  </r>
  <r>
    <n v="195"/>
    <x v="1"/>
    <x v="194"/>
    <x v="28"/>
    <n v="45"/>
    <x v="0"/>
    <x v="3"/>
    <s v="Mon, Wed"/>
    <s v="Mon"/>
    <s v="Wed"/>
    <m/>
    <m/>
    <m/>
    <b v="0"/>
    <s v=""/>
    <m/>
    <m/>
    <m/>
    <d v="1899-12-30T11:23:00"/>
    <d v="1899-12-30T13:41:00"/>
    <x v="102"/>
    <b v="1"/>
    <s v="black_currant, coconut_pineapple"/>
    <s v="black_currant"/>
    <s v="coconut_pineapple"/>
    <x v="0"/>
    <x v="0"/>
    <x v="0"/>
  </r>
  <r>
    <n v="196"/>
    <x v="1"/>
    <x v="195"/>
    <x v="33"/>
    <n v="39"/>
    <x v="0"/>
    <x v="4"/>
    <s v="Fri, Mon, Sat, Thu, Wed"/>
    <s v="Fri"/>
    <s v="Mon"/>
    <s v="Sat"/>
    <s v="Thu"/>
    <s v="Wed"/>
    <b v="0"/>
    <s v=""/>
    <m/>
    <m/>
    <m/>
    <d v="1899-12-30T20:01:00"/>
    <d v="1899-12-30T21:08:00"/>
    <x v="82"/>
    <b v="1"/>
    <s v="lemon"/>
    <s v="lemon"/>
    <m/>
    <x v="1"/>
    <x v="3"/>
    <x v="1"/>
  </r>
  <r>
    <n v="197"/>
    <x v="1"/>
    <x v="196"/>
    <x v="17"/>
    <n v="14"/>
    <x v="1"/>
    <x v="3"/>
    <s v="Mon, Tue"/>
    <s v="Mon"/>
    <s v="Tue"/>
    <m/>
    <m/>
    <m/>
    <b v="0"/>
    <s v=""/>
    <m/>
    <m/>
    <m/>
    <d v="1899-12-30T13:53:00"/>
    <d v="1899-12-30T16:06:00"/>
    <x v="108"/>
    <b v="1"/>
    <s v="coconut_pineapple, black_currant"/>
    <s v="coconut_pineapple"/>
    <s v="black_currant"/>
    <x v="1"/>
    <x v="2"/>
    <x v="1"/>
  </r>
  <r>
    <n v="198"/>
    <x v="1"/>
    <x v="197"/>
    <x v="6"/>
    <n v="30"/>
    <x v="0"/>
    <x v="1"/>
    <s v="Fri, Sun, Wed"/>
    <s v="Fri"/>
    <s v="Sun"/>
    <s v="Wed"/>
    <m/>
    <m/>
    <b v="1"/>
    <s v="BodyPump, Yoga"/>
    <s v="BodyPump"/>
    <s v="Yoga"/>
    <m/>
    <d v="1899-12-30T13:00:00"/>
    <d v="1899-12-30T15:43:00"/>
    <x v="61"/>
    <b v="1"/>
    <s v="coconut_pineapple"/>
    <s v="coconut_pineapple"/>
    <m/>
    <x v="1"/>
    <x v="3"/>
    <x v="0"/>
  </r>
  <r>
    <n v="199"/>
    <x v="0"/>
    <x v="198"/>
    <x v="5"/>
    <n v="15"/>
    <x v="0"/>
    <x v="1"/>
    <s v="Mon, Thu, Tue"/>
    <s v="Mon"/>
    <s v="Thu"/>
    <s v="Tue"/>
    <m/>
    <m/>
    <b v="0"/>
    <s v=""/>
    <m/>
    <m/>
    <m/>
    <d v="1899-12-30T09:55:00"/>
    <d v="1899-12-30T11:07:00"/>
    <x v="109"/>
    <b v="1"/>
    <s v="coconut_pineapple"/>
    <s v="coconut_pineapple"/>
    <m/>
    <x v="1"/>
    <x v="3"/>
    <x v="0"/>
  </r>
  <r>
    <n v="200"/>
    <x v="1"/>
    <x v="199"/>
    <x v="37"/>
    <n v="12"/>
    <x v="1"/>
    <x v="2"/>
    <s v="Tue"/>
    <s v="Tue"/>
    <m/>
    <m/>
    <m/>
    <m/>
    <b v="0"/>
    <s v=""/>
    <m/>
    <m/>
    <m/>
    <d v="1899-12-30T15:47:00"/>
    <d v="1899-12-30T16:28:00"/>
    <x v="110"/>
    <b v="1"/>
    <s v="orange, passion_fruit"/>
    <s v="orange"/>
    <s v="passion_fruit"/>
    <x v="1"/>
    <x v="3"/>
    <x v="0"/>
  </r>
  <r>
    <n v="201"/>
    <x v="1"/>
    <x v="200"/>
    <x v="28"/>
    <n v="46"/>
    <x v="1"/>
    <x v="0"/>
    <s v="Fri, Mon, Sat, Wed"/>
    <s v="Fri"/>
    <s v="Mon"/>
    <s v="Sat"/>
    <s v="Wed"/>
    <m/>
    <b v="1"/>
    <s v="HIT, XCore, Kickboxen"/>
    <s v="HIT"/>
    <s v="XCore"/>
    <s v="Kickboxen"/>
    <d v="1899-12-30T13:31:00"/>
    <d v="1899-12-30T15:47:00"/>
    <x v="39"/>
    <b v="1"/>
    <s v="black_currant, coconut_pineapple"/>
    <s v="black_currant"/>
    <s v="coconut_pineapple"/>
    <x v="1"/>
    <x v="2"/>
    <x v="1"/>
  </r>
  <r>
    <n v="202"/>
    <x v="1"/>
    <x v="201"/>
    <x v="36"/>
    <n v="49"/>
    <x v="0"/>
    <x v="0"/>
    <s v="Mon, Sat, Tue, Wed"/>
    <s v="Mon"/>
    <s v="Sat"/>
    <s v="Tue"/>
    <s v="Wed"/>
    <m/>
    <b v="0"/>
    <s v=""/>
    <m/>
    <m/>
    <m/>
    <d v="1899-12-30T08:21:00"/>
    <d v="1899-12-30T08:52:00"/>
    <x v="111"/>
    <b v="1"/>
    <s v="black_currant"/>
    <s v="black_currant"/>
    <m/>
    <x v="0"/>
    <x v="0"/>
    <x v="1"/>
  </r>
  <r>
    <n v="203"/>
    <x v="0"/>
    <x v="202"/>
    <x v="4"/>
    <n v="43"/>
    <x v="0"/>
    <x v="3"/>
    <s v="Mon, Sun"/>
    <s v="Mon"/>
    <s v="Sun"/>
    <m/>
    <m/>
    <m/>
    <b v="0"/>
    <s v=""/>
    <m/>
    <m/>
    <m/>
    <d v="1899-12-30T18:32:00"/>
    <d v="1899-12-30T20:54:00"/>
    <x v="36"/>
    <b v="1"/>
    <s v="passion_fruit, coconut_pineapple"/>
    <s v="passion_fruit"/>
    <s v="coconut_pineapple"/>
    <x v="1"/>
    <x v="1"/>
    <x v="0"/>
  </r>
  <r>
    <n v="204"/>
    <x v="1"/>
    <x v="203"/>
    <x v="18"/>
    <n v="19"/>
    <x v="0"/>
    <x v="3"/>
    <s v="Thu, Wed"/>
    <s v="Thu"/>
    <s v="Wed"/>
    <m/>
    <m/>
    <m/>
    <b v="1"/>
    <s v="LesMiles"/>
    <s v="LesMiles"/>
    <m/>
    <m/>
    <d v="1899-12-30T17:13:00"/>
    <d v="1899-12-30T19:26:00"/>
    <x v="108"/>
    <b v="1"/>
    <s v="orange"/>
    <s v="orange"/>
    <m/>
    <x v="1"/>
    <x v="3"/>
    <x v="1"/>
  </r>
  <r>
    <n v="205"/>
    <x v="1"/>
    <x v="204"/>
    <x v="20"/>
    <n v="42"/>
    <x v="0"/>
    <x v="1"/>
    <s v="Fri, Sat, Thu"/>
    <s v="Fri"/>
    <s v="Sat"/>
    <s v="Thu"/>
    <m/>
    <m/>
    <b v="0"/>
    <s v=""/>
    <m/>
    <m/>
    <m/>
    <d v="1899-12-30T09:57:00"/>
    <d v="1899-12-30T12:50:00"/>
    <x v="65"/>
    <b v="1"/>
    <s v="lemon"/>
    <s v="lemon"/>
    <m/>
    <x v="1"/>
    <x v="1"/>
    <x v="1"/>
  </r>
  <r>
    <n v="206"/>
    <x v="1"/>
    <x v="205"/>
    <x v="1"/>
    <n v="46"/>
    <x v="1"/>
    <x v="2"/>
    <s v="Sun"/>
    <s v="Sun"/>
    <m/>
    <m/>
    <m/>
    <m/>
    <b v="1"/>
    <s v="Zumba"/>
    <s v="Zumba"/>
    <m/>
    <m/>
    <d v="1899-12-30T18:06:00"/>
    <d v="1899-12-30T20:49:00"/>
    <x v="61"/>
    <b v="1"/>
    <s v="berry_boost, black_currant"/>
    <s v="berry_boost"/>
    <s v="black_currant"/>
    <x v="0"/>
    <x v="0"/>
    <x v="1"/>
  </r>
  <r>
    <n v="207"/>
    <x v="1"/>
    <x v="206"/>
    <x v="23"/>
    <n v="18"/>
    <x v="1"/>
    <x v="1"/>
    <s v="Fri, Mon, Thu"/>
    <s v="Fri"/>
    <s v="Mon"/>
    <s v="Thu"/>
    <m/>
    <m/>
    <b v="1"/>
    <s v="Running, BodyPump"/>
    <s v="Running"/>
    <s v="BodyPump"/>
    <m/>
    <d v="1899-12-30T11:47:00"/>
    <d v="1899-12-30T14:00:00"/>
    <x v="108"/>
    <b v="0"/>
    <s v=""/>
    <m/>
    <m/>
    <x v="1"/>
    <x v="1"/>
    <x v="1"/>
  </r>
  <r>
    <n v="208"/>
    <x v="1"/>
    <x v="207"/>
    <x v="2"/>
    <n v="41"/>
    <x v="0"/>
    <x v="2"/>
    <s v="Thu"/>
    <s v="Thu"/>
    <m/>
    <m/>
    <m/>
    <m/>
    <b v="1"/>
    <s v="Running, HIT"/>
    <s v="Running"/>
    <s v="HIT"/>
    <m/>
    <d v="1899-12-30T11:28:00"/>
    <d v="1899-12-30T13:10:00"/>
    <x v="23"/>
    <b v="1"/>
    <s v="lemon, coconut_pineapple"/>
    <s v="lemon"/>
    <s v="coconut_pineapple"/>
    <x v="1"/>
    <x v="3"/>
    <x v="0"/>
  </r>
  <r>
    <n v="209"/>
    <x v="1"/>
    <x v="208"/>
    <x v="23"/>
    <n v="19"/>
    <x v="0"/>
    <x v="0"/>
    <s v="Fri, Mon, Tue, Wed"/>
    <s v="Fri"/>
    <s v="Mon"/>
    <s v="Tue"/>
    <s v="Wed"/>
    <m/>
    <b v="0"/>
    <s v=""/>
    <m/>
    <m/>
    <m/>
    <d v="1899-12-30T19:07:00"/>
    <d v="1899-12-30T20:06:00"/>
    <x v="112"/>
    <b v="1"/>
    <s v="coconut_pineapple"/>
    <s v="coconut_pineapple"/>
    <m/>
    <x v="1"/>
    <x v="4"/>
    <x v="1"/>
  </r>
  <r>
    <n v="210"/>
    <x v="1"/>
    <x v="209"/>
    <x v="31"/>
    <n v="17"/>
    <x v="0"/>
    <x v="3"/>
    <s v="Fri, Sun"/>
    <s v="Fri"/>
    <s v="Sun"/>
    <m/>
    <m/>
    <m/>
    <b v="0"/>
    <s v=""/>
    <m/>
    <m/>
    <m/>
    <d v="1899-12-30T17:44:00"/>
    <d v="1899-12-30T18:20:00"/>
    <x v="10"/>
    <b v="1"/>
    <s v="lemon"/>
    <s v="lemon"/>
    <m/>
    <x v="1"/>
    <x v="1"/>
    <x v="1"/>
  </r>
  <r>
    <n v="211"/>
    <x v="0"/>
    <x v="210"/>
    <x v="0"/>
    <n v="27"/>
    <x v="1"/>
    <x v="3"/>
    <s v="Mon, Tue"/>
    <s v="Mon"/>
    <s v="Tue"/>
    <m/>
    <m/>
    <m/>
    <b v="1"/>
    <s v="Pilates"/>
    <s v="Pilates"/>
    <m/>
    <m/>
    <d v="1899-12-30T09:10:00"/>
    <d v="1899-12-30T11:36:00"/>
    <x v="19"/>
    <b v="0"/>
    <s v=""/>
    <m/>
    <m/>
    <x v="1"/>
    <x v="1"/>
    <x v="0"/>
  </r>
  <r>
    <n v="212"/>
    <x v="1"/>
    <x v="211"/>
    <x v="38"/>
    <n v="25"/>
    <x v="0"/>
    <x v="1"/>
    <s v="Sat, Sun, Tue"/>
    <s v="Sat"/>
    <s v="Sun"/>
    <s v="Tue"/>
    <m/>
    <m/>
    <b v="0"/>
    <s v=""/>
    <m/>
    <m/>
    <m/>
    <d v="1899-12-30T17:21:00"/>
    <d v="1899-12-30T18:17:00"/>
    <x v="81"/>
    <b v="0"/>
    <s v=""/>
    <m/>
    <m/>
    <x v="0"/>
    <x v="0"/>
    <x v="0"/>
  </r>
  <r>
    <n v="213"/>
    <x v="1"/>
    <x v="212"/>
    <x v="30"/>
    <n v="23"/>
    <x v="0"/>
    <x v="3"/>
    <s v="Mon, Sun"/>
    <s v="Mon"/>
    <s v="Sun"/>
    <m/>
    <m/>
    <m/>
    <b v="1"/>
    <s v="XCore, Zumba"/>
    <s v="XCore"/>
    <s v="Zumba"/>
    <m/>
    <d v="1899-12-30T12:58:00"/>
    <d v="1899-12-30T15:46:00"/>
    <x v="104"/>
    <b v="0"/>
    <s v=""/>
    <m/>
    <m/>
    <x v="0"/>
    <x v="0"/>
    <x v="1"/>
  </r>
  <r>
    <n v="214"/>
    <x v="0"/>
    <x v="213"/>
    <x v="10"/>
    <n v="35"/>
    <x v="1"/>
    <x v="2"/>
    <s v="Wed"/>
    <s v="Wed"/>
    <m/>
    <m/>
    <m/>
    <m/>
    <b v="0"/>
    <s v=""/>
    <m/>
    <m/>
    <m/>
    <d v="1899-12-30T08:34:00"/>
    <d v="1899-12-30T09:27:00"/>
    <x v="69"/>
    <b v="0"/>
    <s v=""/>
    <m/>
    <m/>
    <x v="1"/>
    <x v="1"/>
    <x v="1"/>
  </r>
  <r>
    <n v="215"/>
    <x v="0"/>
    <x v="214"/>
    <x v="15"/>
    <n v="38"/>
    <x v="1"/>
    <x v="1"/>
    <s v="Fri, Thu, Wed"/>
    <s v="Fri"/>
    <s v="Thu"/>
    <s v="Wed"/>
    <m/>
    <m/>
    <b v="1"/>
    <s v="Yoga"/>
    <s v="Yoga"/>
    <m/>
    <m/>
    <d v="1899-12-30T08:17:00"/>
    <d v="1899-12-30T10:38:00"/>
    <x v="113"/>
    <b v="0"/>
    <s v=""/>
    <m/>
    <m/>
    <x v="0"/>
    <x v="0"/>
    <x v="0"/>
  </r>
  <r>
    <n v="216"/>
    <x v="1"/>
    <x v="215"/>
    <x v="36"/>
    <n v="49"/>
    <x v="0"/>
    <x v="1"/>
    <s v="Fri, Mon, Wed"/>
    <s v="Fri"/>
    <s v="Mon"/>
    <s v="Wed"/>
    <m/>
    <m/>
    <b v="0"/>
    <s v=""/>
    <m/>
    <m/>
    <m/>
    <d v="1899-12-30T12:37:00"/>
    <d v="1899-12-30T13:15:00"/>
    <x v="114"/>
    <b v="1"/>
    <s v="lemon"/>
    <s v="lemon"/>
    <m/>
    <x v="1"/>
    <x v="2"/>
    <x v="1"/>
  </r>
  <r>
    <n v="217"/>
    <x v="1"/>
    <x v="216"/>
    <x v="11"/>
    <n v="34"/>
    <x v="1"/>
    <x v="2"/>
    <s v="Sun"/>
    <s v="Sun"/>
    <m/>
    <m/>
    <m/>
    <m/>
    <b v="0"/>
    <s v=""/>
    <m/>
    <m/>
    <m/>
    <d v="1899-12-30T12:42:00"/>
    <d v="1899-12-30T13:21:00"/>
    <x v="115"/>
    <b v="1"/>
    <s v="coconut_pineapple"/>
    <s v="coconut_pineapple"/>
    <m/>
    <x v="1"/>
    <x v="3"/>
    <x v="0"/>
  </r>
  <r>
    <n v="218"/>
    <x v="0"/>
    <x v="217"/>
    <x v="1"/>
    <n v="46"/>
    <x v="0"/>
    <x v="1"/>
    <s v="Sun, Thu, Wed"/>
    <s v="Sun"/>
    <s v="Thu"/>
    <s v="Wed"/>
    <m/>
    <m/>
    <b v="1"/>
    <s v="BodyPump"/>
    <s v="BodyPump"/>
    <m/>
    <m/>
    <d v="1899-12-30T18:01:00"/>
    <d v="1899-12-30T18:36:00"/>
    <x v="49"/>
    <b v="1"/>
    <s v="coconut_pineapple, passion_fruit"/>
    <s v="coconut_pineapple"/>
    <s v="passion_fruit"/>
    <x v="0"/>
    <x v="0"/>
    <x v="1"/>
  </r>
  <r>
    <n v="219"/>
    <x v="1"/>
    <x v="218"/>
    <x v="28"/>
    <n v="45"/>
    <x v="1"/>
    <x v="4"/>
    <s v="Fri, Mon, Sun, Tue, Wed"/>
    <s v="Fri"/>
    <s v="Mon"/>
    <s v="Sun"/>
    <s v="Tue"/>
    <s v="Wed"/>
    <b v="1"/>
    <s v="Spinning, BodyBalance, BodyPump"/>
    <s v="Spinning"/>
    <s v="BodyBalance"/>
    <s v="BodyPump"/>
    <d v="1899-12-30T14:59:00"/>
    <d v="1899-12-30T16:59:00"/>
    <x v="116"/>
    <b v="0"/>
    <s v=""/>
    <m/>
    <m/>
    <x v="0"/>
    <x v="0"/>
    <x v="0"/>
  </r>
  <r>
    <n v="220"/>
    <x v="1"/>
    <x v="188"/>
    <x v="12"/>
    <n v="36"/>
    <x v="0"/>
    <x v="4"/>
    <s v="Fri, Mon, Sun, Thu, Tue"/>
    <s v="Fri"/>
    <s v="Mon"/>
    <s v="Sun"/>
    <s v="Thu"/>
    <s v="Tue"/>
    <b v="0"/>
    <s v=""/>
    <m/>
    <m/>
    <m/>
    <d v="1899-12-30T20:57:00"/>
    <d v="1899-12-30T22:15:00"/>
    <x v="106"/>
    <b v="1"/>
    <s v="lemon"/>
    <s v="lemon"/>
    <m/>
    <x v="1"/>
    <x v="2"/>
    <x v="1"/>
  </r>
  <r>
    <n v="221"/>
    <x v="1"/>
    <x v="219"/>
    <x v="28"/>
    <n v="45"/>
    <x v="0"/>
    <x v="3"/>
    <s v="Sun, Tue"/>
    <s v="Sun"/>
    <s v="Tue"/>
    <m/>
    <m/>
    <m/>
    <b v="0"/>
    <s v=""/>
    <m/>
    <m/>
    <m/>
    <d v="1899-12-30T12:13:00"/>
    <d v="1899-12-30T14:47:00"/>
    <x v="20"/>
    <b v="1"/>
    <s v="passion_fruit"/>
    <s v="passion_fruit"/>
    <m/>
    <x v="1"/>
    <x v="1"/>
    <x v="0"/>
  </r>
  <r>
    <n v="222"/>
    <x v="1"/>
    <x v="220"/>
    <x v="36"/>
    <n v="49"/>
    <x v="0"/>
    <x v="1"/>
    <s v="Fri, Sun, Thu"/>
    <s v="Fri"/>
    <s v="Sun"/>
    <s v="Thu"/>
    <m/>
    <m/>
    <b v="1"/>
    <s v="Pilates, XCore, Spinning"/>
    <s v="Pilates"/>
    <s v="XCore"/>
    <s v="Spinning"/>
    <d v="1899-12-30T20:01:00"/>
    <d v="1899-12-30T22:34:00"/>
    <x v="117"/>
    <b v="0"/>
    <s v=""/>
    <m/>
    <m/>
    <x v="1"/>
    <x v="2"/>
    <x v="1"/>
  </r>
  <r>
    <n v="223"/>
    <x v="1"/>
    <x v="221"/>
    <x v="23"/>
    <n v="19"/>
    <x v="1"/>
    <x v="4"/>
    <s v="Fri, Mon, Sun, Thu, Tue"/>
    <s v="Fri"/>
    <s v="Mon"/>
    <s v="Sun"/>
    <s v="Thu"/>
    <s v="Tue"/>
    <b v="0"/>
    <s v=""/>
    <m/>
    <m/>
    <m/>
    <d v="1899-12-30T20:23:00"/>
    <d v="1899-12-30T21:52:00"/>
    <x v="118"/>
    <b v="1"/>
    <s v="coconut_pineapple"/>
    <s v="coconut_pineapple"/>
    <m/>
    <x v="0"/>
    <x v="0"/>
    <x v="1"/>
  </r>
  <r>
    <n v="224"/>
    <x v="0"/>
    <x v="222"/>
    <x v="8"/>
    <n v="24"/>
    <x v="1"/>
    <x v="3"/>
    <s v="Fri, Mon"/>
    <s v="Fri"/>
    <s v="Mon"/>
    <m/>
    <m/>
    <m/>
    <b v="0"/>
    <s v=""/>
    <m/>
    <m/>
    <m/>
    <d v="1899-12-30T20:41:00"/>
    <d v="1899-12-30T22:29:00"/>
    <x v="84"/>
    <b v="0"/>
    <s v=""/>
    <m/>
    <m/>
    <x v="0"/>
    <x v="0"/>
    <x v="1"/>
  </r>
  <r>
    <n v="225"/>
    <x v="1"/>
    <x v="223"/>
    <x v="30"/>
    <n v="24"/>
    <x v="1"/>
    <x v="1"/>
    <s v="Fri, Mon, Sun"/>
    <s v="Fri"/>
    <s v="Mon"/>
    <s v="Sun"/>
    <m/>
    <m/>
    <b v="0"/>
    <s v=""/>
    <m/>
    <m/>
    <m/>
    <d v="1899-12-30T20:08:00"/>
    <d v="1899-12-30T22:44:00"/>
    <x v="78"/>
    <b v="1"/>
    <s v="orange"/>
    <s v="orange"/>
    <m/>
    <x v="0"/>
    <x v="0"/>
    <x v="1"/>
  </r>
  <r>
    <n v="226"/>
    <x v="1"/>
    <x v="224"/>
    <x v="34"/>
    <n v="31"/>
    <x v="1"/>
    <x v="2"/>
    <s v="Thu"/>
    <s v="Thu"/>
    <m/>
    <m/>
    <m/>
    <m/>
    <b v="0"/>
    <s v=""/>
    <m/>
    <m/>
    <m/>
    <d v="1899-12-30T15:01:00"/>
    <d v="1899-12-30T17:43:00"/>
    <x v="44"/>
    <b v="0"/>
    <s v=""/>
    <m/>
    <m/>
    <x v="0"/>
    <x v="0"/>
    <x v="1"/>
  </r>
  <r>
    <n v="227"/>
    <x v="0"/>
    <x v="225"/>
    <x v="21"/>
    <n v="48"/>
    <x v="0"/>
    <x v="1"/>
    <s v="Mon, Sat, Tue"/>
    <s v="Mon"/>
    <s v="Sat"/>
    <s v="Tue"/>
    <m/>
    <m/>
    <b v="1"/>
    <s v="XCore, BodyPump"/>
    <s v="XCore"/>
    <s v="BodyPump"/>
    <m/>
    <d v="1899-12-30T20:37:00"/>
    <d v="1899-12-30T21:48:00"/>
    <x v="45"/>
    <b v="0"/>
    <s v=""/>
    <m/>
    <m/>
    <x v="1"/>
    <x v="3"/>
    <x v="0"/>
  </r>
  <r>
    <n v="228"/>
    <x v="1"/>
    <x v="226"/>
    <x v="31"/>
    <n v="17"/>
    <x v="0"/>
    <x v="2"/>
    <s v="Mon"/>
    <s v="Mon"/>
    <m/>
    <m/>
    <m/>
    <m/>
    <b v="1"/>
    <s v="Spinning, HIT"/>
    <s v="Spinning"/>
    <s v="HIT"/>
    <m/>
    <d v="1899-12-30T19:05:00"/>
    <d v="1899-12-30T21:55:00"/>
    <x v="52"/>
    <b v="1"/>
    <s v="berry_boost, orange"/>
    <s v="berry_boost"/>
    <s v="orange"/>
    <x v="1"/>
    <x v="1"/>
    <x v="1"/>
  </r>
  <r>
    <n v="229"/>
    <x v="1"/>
    <x v="227"/>
    <x v="34"/>
    <n v="31"/>
    <x v="0"/>
    <x v="4"/>
    <s v="Sat, Sun, Thu, Tue, Wed"/>
    <s v="Sat"/>
    <s v="Sun"/>
    <s v="Thu"/>
    <s v="Tue"/>
    <s v="Wed"/>
    <b v="0"/>
    <s v=""/>
    <m/>
    <m/>
    <m/>
    <d v="1899-12-30T20:39:00"/>
    <d v="1899-12-30T21:35:00"/>
    <x v="81"/>
    <b v="0"/>
    <s v=""/>
    <m/>
    <m/>
    <x v="0"/>
    <x v="0"/>
    <x v="1"/>
  </r>
  <r>
    <n v="230"/>
    <x v="1"/>
    <x v="228"/>
    <x v="29"/>
    <n v="22"/>
    <x v="1"/>
    <x v="1"/>
    <s v="Fri, Sun, Wed"/>
    <s v="Fri"/>
    <s v="Sun"/>
    <s v="Wed"/>
    <m/>
    <m/>
    <b v="1"/>
    <s v="Yoga"/>
    <s v="Yoga"/>
    <m/>
    <m/>
    <d v="1899-12-30T16:31:00"/>
    <d v="1899-12-30T18:39:00"/>
    <x v="119"/>
    <b v="0"/>
    <s v=""/>
    <m/>
    <m/>
    <x v="0"/>
    <x v="0"/>
    <x v="1"/>
  </r>
  <r>
    <n v="231"/>
    <x v="1"/>
    <x v="229"/>
    <x v="13"/>
    <n v="37"/>
    <x v="0"/>
    <x v="1"/>
    <s v="Fri, Sat, Sun"/>
    <s v="Fri"/>
    <s v="Sat"/>
    <s v="Sun"/>
    <m/>
    <m/>
    <b v="0"/>
    <s v=""/>
    <m/>
    <m/>
    <m/>
    <d v="1899-12-30T17:53:00"/>
    <d v="1899-12-30T20:14:00"/>
    <x v="113"/>
    <b v="0"/>
    <s v=""/>
    <m/>
    <m/>
    <x v="0"/>
    <x v="0"/>
    <x v="0"/>
  </r>
  <r>
    <n v="232"/>
    <x v="1"/>
    <x v="230"/>
    <x v="33"/>
    <n v="39"/>
    <x v="1"/>
    <x v="4"/>
    <s v="Fri, Mon, Sat, Thu, Wed"/>
    <s v="Fri"/>
    <s v="Mon"/>
    <s v="Sat"/>
    <s v="Thu"/>
    <s v="Wed"/>
    <b v="1"/>
    <s v="XCore, Pilates"/>
    <s v="XCore"/>
    <s v="Pilates"/>
    <m/>
    <d v="1899-12-30T15:16:00"/>
    <d v="1899-12-30T17:15:00"/>
    <x v="16"/>
    <b v="1"/>
    <s v="lemon"/>
    <s v="lemon"/>
    <m/>
    <x v="1"/>
    <x v="2"/>
    <x v="1"/>
  </r>
  <r>
    <n v="233"/>
    <x v="0"/>
    <x v="231"/>
    <x v="14"/>
    <n v="14"/>
    <x v="1"/>
    <x v="1"/>
    <s v="Sat, Sun, Tue"/>
    <s v="Sat"/>
    <s v="Sun"/>
    <s v="Tue"/>
    <m/>
    <m/>
    <b v="0"/>
    <s v=""/>
    <m/>
    <m/>
    <m/>
    <d v="1899-12-30T08:34:00"/>
    <d v="1899-12-30T10:49:00"/>
    <x v="33"/>
    <b v="0"/>
    <s v=""/>
    <m/>
    <m/>
    <x v="0"/>
    <x v="0"/>
    <x v="0"/>
  </r>
  <r>
    <n v="234"/>
    <x v="0"/>
    <x v="232"/>
    <x v="23"/>
    <n v="19"/>
    <x v="1"/>
    <x v="2"/>
    <s v="Sun"/>
    <s v="Sun"/>
    <m/>
    <m/>
    <m/>
    <m/>
    <b v="0"/>
    <s v=""/>
    <m/>
    <m/>
    <m/>
    <d v="1899-12-30T20:26:00"/>
    <d v="1899-12-30T21:45:00"/>
    <x v="32"/>
    <b v="0"/>
    <s v=""/>
    <m/>
    <m/>
    <x v="0"/>
    <x v="0"/>
    <x v="0"/>
  </r>
  <r>
    <n v="235"/>
    <x v="0"/>
    <x v="233"/>
    <x v="0"/>
    <n v="27"/>
    <x v="1"/>
    <x v="0"/>
    <s v="Sun, Thu, Tue, Wed"/>
    <s v="Sun"/>
    <s v="Thu"/>
    <s v="Tue"/>
    <s v="Wed"/>
    <m/>
    <b v="0"/>
    <s v=""/>
    <m/>
    <m/>
    <m/>
    <d v="1899-12-30T11:49:00"/>
    <d v="1899-12-30T14:25:00"/>
    <x v="78"/>
    <b v="1"/>
    <s v="lemon, black_currant"/>
    <s v="lemon"/>
    <s v="black_currant"/>
    <x v="1"/>
    <x v="4"/>
    <x v="1"/>
  </r>
  <r>
    <n v="236"/>
    <x v="0"/>
    <x v="234"/>
    <x v="10"/>
    <n v="35"/>
    <x v="1"/>
    <x v="4"/>
    <s v="Fri, Sat, Thu, Tue, Wed"/>
    <s v="Fri"/>
    <s v="Sat"/>
    <s v="Thu"/>
    <s v="Tue"/>
    <s v="Wed"/>
    <b v="1"/>
    <s v="BodyPump"/>
    <s v="BodyPump"/>
    <m/>
    <m/>
    <d v="1899-12-30T15:45:00"/>
    <d v="1899-12-30T18:43:00"/>
    <x v="80"/>
    <b v="0"/>
    <s v=""/>
    <m/>
    <m/>
    <x v="0"/>
    <x v="0"/>
    <x v="1"/>
  </r>
  <r>
    <n v="237"/>
    <x v="0"/>
    <x v="235"/>
    <x v="18"/>
    <n v="19"/>
    <x v="0"/>
    <x v="3"/>
    <s v="Tue, Wed"/>
    <s v="Tue"/>
    <s v="Wed"/>
    <m/>
    <m/>
    <m/>
    <b v="1"/>
    <s v="Spinning"/>
    <s v="Spinning"/>
    <m/>
    <m/>
    <d v="1899-12-30T10:32:00"/>
    <d v="1899-12-30T12:03:00"/>
    <x v="26"/>
    <b v="1"/>
    <s v="coconut_pineapple"/>
    <s v="coconut_pineapple"/>
    <m/>
    <x v="1"/>
    <x v="3"/>
    <x v="0"/>
  </r>
  <r>
    <n v="238"/>
    <x v="0"/>
    <x v="236"/>
    <x v="19"/>
    <n v="21"/>
    <x v="0"/>
    <x v="4"/>
    <s v="Fri, Mon, Sat, Sun, Thu"/>
    <s v="Fri"/>
    <s v="Mon"/>
    <s v="Sat"/>
    <s v="Sun"/>
    <s v="Thu"/>
    <b v="1"/>
    <s v="Pilates, BodyPump, BodyBalance"/>
    <s v="Pilates"/>
    <s v="BodyPump"/>
    <s v="BodyBalance"/>
    <d v="1899-12-30T20:15:00"/>
    <d v="1899-12-30T23:14:00"/>
    <x v="120"/>
    <b v="1"/>
    <s v="coconut_pineapple, passion_fruit"/>
    <s v="coconut_pineapple"/>
    <s v="passion_fruit"/>
    <x v="0"/>
    <x v="0"/>
    <x v="0"/>
  </r>
  <r>
    <n v="239"/>
    <x v="1"/>
    <x v="237"/>
    <x v="7"/>
    <n v="20"/>
    <x v="1"/>
    <x v="1"/>
    <s v="Fri, Mon, Thu"/>
    <s v="Fri"/>
    <s v="Mon"/>
    <s v="Thu"/>
    <m/>
    <m/>
    <b v="1"/>
    <s v="Zumba, Yoga, Pilates"/>
    <s v="Zumba"/>
    <s v="Yoga"/>
    <s v="Pilates"/>
    <d v="1899-12-30T17:30:00"/>
    <d v="1899-12-30T19:17:00"/>
    <x v="34"/>
    <b v="0"/>
    <s v=""/>
    <m/>
    <m/>
    <x v="1"/>
    <x v="3"/>
    <x v="0"/>
  </r>
  <r>
    <n v="240"/>
    <x v="1"/>
    <x v="238"/>
    <x v="18"/>
    <n v="19"/>
    <x v="0"/>
    <x v="0"/>
    <s v="Sat, Sun, Tue, Wed"/>
    <s v="Sat"/>
    <s v="Sun"/>
    <s v="Tue"/>
    <s v="Wed"/>
    <m/>
    <b v="1"/>
    <s v="Kickboxen, Running"/>
    <s v="Kickboxen"/>
    <s v="Running"/>
    <m/>
    <d v="1899-12-30T15:49:00"/>
    <d v="1899-12-30T17:10:00"/>
    <x v="27"/>
    <b v="1"/>
    <s v="passion_fruit"/>
    <s v="passion_fruit"/>
    <m/>
    <x v="0"/>
    <x v="0"/>
    <x v="1"/>
  </r>
  <r>
    <n v="241"/>
    <x v="0"/>
    <x v="239"/>
    <x v="20"/>
    <n v="42"/>
    <x v="0"/>
    <x v="3"/>
    <s v="Mon, Wed"/>
    <s v="Mon"/>
    <s v="Wed"/>
    <m/>
    <m/>
    <m/>
    <b v="0"/>
    <s v=""/>
    <m/>
    <m/>
    <m/>
    <d v="1899-12-30T11:03:00"/>
    <d v="1899-12-30T13:34:00"/>
    <x v="85"/>
    <b v="1"/>
    <s v="passion_fruit"/>
    <s v="passion_fruit"/>
    <m/>
    <x v="1"/>
    <x v="4"/>
    <x v="1"/>
  </r>
  <r>
    <n v="242"/>
    <x v="1"/>
    <x v="240"/>
    <x v="23"/>
    <n v="18"/>
    <x v="0"/>
    <x v="2"/>
    <s v="Wed"/>
    <s v="Wed"/>
    <m/>
    <m/>
    <m/>
    <m/>
    <b v="0"/>
    <s v=""/>
    <m/>
    <m/>
    <m/>
    <d v="1899-12-30T17:38:00"/>
    <d v="1899-12-30T18:10:00"/>
    <x v="105"/>
    <b v="0"/>
    <s v=""/>
    <m/>
    <m/>
    <x v="1"/>
    <x v="2"/>
    <x v="0"/>
  </r>
  <r>
    <n v="243"/>
    <x v="0"/>
    <x v="241"/>
    <x v="36"/>
    <n v="49"/>
    <x v="0"/>
    <x v="2"/>
    <s v="Sun"/>
    <s v="Sun"/>
    <m/>
    <m/>
    <m/>
    <m/>
    <b v="0"/>
    <s v=""/>
    <m/>
    <m/>
    <m/>
    <d v="1899-12-30T13:58:00"/>
    <d v="1899-12-30T14:35:00"/>
    <x v="91"/>
    <b v="1"/>
    <s v="berry_boost"/>
    <s v="berry_boost"/>
    <m/>
    <x v="1"/>
    <x v="2"/>
    <x v="1"/>
  </r>
  <r>
    <n v="244"/>
    <x v="0"/>
    <x v="242"/>
    <x v="24"/>
    <n v="17"/>
    <x v="0"/>
    <x v="4"/>
    <s v="Fri, Mon, Sat, Sun, Wed"/>
    <s v="Fri"/>
    <s v="Mon"/>
    <s v="Sat"/>
    <s v="Sun"/>
    <s v="Wed"/>
    <b v="1"/>
    <s v="Yoga"/>
    <s v="Yoga"/>
    <m/>
    <m/>
    <d v="1899-12-30T13:50:00"/>
    <d v="1899-12-30T14:29:00"/>
    <x v="115"/>
    <b v="1"/>
    <s v="lemon"/>
    <s v="lemon"/>
    <m/>
    <x v="1"/>
    <x v="4"/>
    <x v="0"/>
  </r>
  <r>
    <n v="245"/>
    <x v="1"/>
    <x v="243"/>
    <x v="0"/>
    <n v="27"/>
    <x v="1"/>
    <x v="2"/>
    <s v="Mon"/>
    <s v="Mon"/>
    <m/>
    <m/>
    <m/>
    <m/>
    <b v="1"/>
    <s v="Kickboxen, BodyPump, Zumba"/>
    <s v="Kickboxen"/>
    <s v="BodyPump"/>
    <s v="Zumba"/>
    <d v="1899-12-30T12:11:00"/>
    <d v="1899-12-30T14:52:00"/>
    <x v="15"/>
    <b v="0"/>
    <s v=""/>
    <m/>
    <m/>
    <x v="1"/>
    <x v="3"/>
    <x v="1"/>
  </r>
  <r>
    <n v="246"/>
    <x v="0"/>
    <x v="244"/>
    <x v="30"/>
    <n v="24"/>
    <x v="0"/>
    <x v="0"/>
    <s v="Sun, Thu, Tue, Wed"/>
    <s v="Sun"/>
    <s v="Thu"/>
    <s v="Tue"/>
    <s v="Wed"/>
    <m/>
    <b v="0"/>
    <s v=""/>
    <m/>
    <m/>
    <m/>
    <d v="1899-12-30T09:12:00"/>
    <d v="1899-12-30T11:17:00"/>
    <x v="62"/>
    <b v="0"/>
    <s v=""/>
    <m/>
    <m/>
    <x v="0"/>
    <x v="0"/>
    <x v="1"/>
  </r>
  <r>
    <n v="247"/>
    <x v="1"/>
    <x v="245"/>
    <x v="13"/>
    <n v="37"/>
    <x v="1"/>
    <x v="0"/>
    <s v="Fri, Sat, Thu, Wed"/>
    <s v="Fri"/>
    <s v="Sat"/>
    <s v="Thu"/>
    <s v="Wed"/>
    <m/>
    <b v="1"/>
    <s v="BodyBalance, Running, Yoga"/>
    <s v="BodyBalance"/>
    <s v="Running"/>
    <s v="Yoga"/>
    <d v="1899-12-30T18:44:00"/>
    <d v="1899-12-30T20:56:00"/>
    <x v="121"/>
    <b v="1"/>
    <s v="coconut_pineapple"/>
    <s v="coconut_pineapple"/>
    <m/>
    <x v="0"/>
    <x v="0"/>
    <x v="0"/>
  </r>
  <r>
    <n v="248"/>
    <x v="0"/>
    <x v="246"/>
    <x v="8"/>
    <n v="24"/>
    <x v="0"/>
    <x v="2"/>
    <s v="Sun"/>
    <s v="Sun"/>
    <m/>
    <m/>
    <m/>
    <m/>
    <b v="0"/>
    <s v=""/>
    <m/>
    <m/>
    <m/>
    <d v="1899-12-30T14:59:00"/>
    <d v="1899-12-30T17:17:00"/>
    <x v="102"/>
    <b v="0"/>
    <s v=""/>
    <m/>
    <m/>
    <x v="1"/>
    <x v="2"/>
    <x v="0"/>
  </r>
  <r>
    <n v="249"/>
    <x v="0"/>
    <x v="247"/>
    <x v="26"/>
    <n v="28"/>
    <x v="0"/>
    <x v="4"/>
    <s v="Fri, Mon, Sat, Sun, Wed"/>
    <s v="Fri"/>
    <s v="Mon"/>
    <s v="Sat"/>
    <s v="Sun"/>
    <s v="Wed"/>
    <b v="1"/>
    <s v="Zumba, HIT"/>
    <s v="Zumba"/>
    <s v="HIT"/>
    <m/>
    <d v="1899-12-30T18:00:00"/>
    <d v="1899-12-30T19:56:00"/>
    <x v="0"/>
    <b v="0"/>
    <s v=""/>
    <m/>
    <m/>
    <x v="0"/>
    <x v="0"/>
    <x v="1"/>
  </r>
  <r>
    <n v="250"/>
    <x v="1"/>
    <x v="248"/>
    <x v="23"/>
    <n v="18"/>
    <x v="1"/>
    <x v="1"/>
    <s v="Fri, Mon, Sun"/>
    <s v="Fri"/>
    <s v="Mon"/>
    <s v="Sun"/>
    <m/>
    <m/>
    <b v="0"/>
    <s v=""/>
    <m/>
    <m/>
    <m/>
    <d v="1899-12-30T13:26:00"/>
    <d v="1899-12-30T16:15:00"/>
    <x v="76"/>
    <b v="0"/>
    <s v=""/>
    <m/>
    <m/>
    <x v="0"/>
    <x v="0"/>
    <x v="1"/>
  </r>
  <r>
    <n v="251"/>
    <x v="1"/>
    <x v="249"/>
    <x v="23"/>
    <n v="18"/>
    <x v="1"/>
    <x v="3"/>
    <s v="Fri, Thu"/>
    <s v="Fri"/>
    <s v="Thu"/>
    <m/>
    <m/>
    <m/>
    <b v="1"/>
    <s v="Yoga, Pilates, BodyPump"/>
    <s v="Yoga"/>
    <s v="Pilates"/>
    <s v="BodyPump"/>
    <d v="1899-12-30T08:05:00"/>
    <d v="1899-12-30T09:23:00"/>
    <x v="106"/>
    <b v="1"/>
    <s v="black_currant"/>
    <s v="black_currant"/>
    <m/>
    <x v="0"/>
    <x v="0"/>
    <x v="1"/>
  </r>
  <r>
    <n v="252"/>
    <x v="0"/>
    <x v="250"/>
    <x v="16"/>
    <n v="32"/>
    <x v="0"/>
    <x v="4"/>
    <s v="Fri, Mon, Thu, Tue, Wed"/>
    <s v="Fri"/>
    <s v="Mon"/>
    <s v="Thu"/>
    <s v="Tue"/>
    <s v="Wed"/>
    <b v="1"/>
    <s v="BodyBalance, Zumba"/>
    <s v="BodyBalance"/>
    <s v="Zumba"/>
    <m/>
    <d v="1899-12-30T10:17:00"/>
    <d v="1899-12-30T13:05:00"/>
    <x v="104"/>
    <b v="1"/>
    <s v="berry_boost"/>
    <s v="berry_boost"/>
    <m/>
    <x v="0"/>
    <x v="0"/>
    <x v="1"/>
  </r>
  <r>
    <n v="253"/>
    <x v="1"/>
    <x v="251"/>
    <x v="22"/>
    <n v="40"/>
    <x v="0"/>
    <x v="3"/>
    <s v="Fri, Tue"/>
    <s v="Fri"/>
    <s v="Tue"/>
    <m/>
    <m/>
    <m/>
    <b v="1"/>
    <s v="Yoga, HIT"/>
    <s v="Yoga"/>
    <s v="HIT"/>
    <m/>
    <d v="1899-12-30T14:33:00"/>
    <d v="1899-12-30T15:40:00"/>
    <x v="82"/>
    <b v="1"/>
    <s v="lemon"/>
    <s v="lemon"/>
    <m/>
    <x v="1"/>
    <x v="3"/>
    <x v="1"/>
  </r>
  <r>
    <n v="254"/>
    <x v="1"/>
    <x v="237"/>
    <x v="7"/>
    <n v="20"/>
    <x v="1"/>
    <x v="0"/>
    <s v="Fri, Mon, Sun, Wed"/>
    <s v="Fri"/>
    <s v="Mon"/>
    <s v="Sun"/>
    <s v="Wed"/>
    <m/>
    <b v="0"/>
    <s v=""/>
    <m/>
    <m/>
    <m/>
    <d v="1899-12-30T17:12:00"/>
    <d v="1899-12-30T18:19:00"/>
    <x v="82"/>
    <b v="0"/>
    <s v=""/>
    <m/>
    <m/>
    <x v="0"/>
    <x v="0"/>
    <x v="0"/>
  </r>
  <r>
    <n v="255"/>
    <x v="1"/>
    <x v="252"/>
    <x v="19"/>
    <n v="21"/>
    <x v="0"/>
    <x v="2"/>
    <s v="Sun"/>
    <s v="Sun"/>
    <m/>
    <m/>
    <m/>
    <m/>
    <b v="1"/>
    <s v="Kickboxen, BodyBalance, LesMiles"/>
    <s v="Kickboxen"/>
    <s v="BodyBalance"/>
    <s v="LesMiles"/>
    <d v="1899-12-30T14:34:00"/>
    <d v="1899-12-30T15:04:00"/>
    <x v="46"/>
    <b v="1"/>
    <s v="coconut_pineapple"/>
    <s v="coconut_pineapple"/>
    <m/>
    <x v="1"/>
    <x v="2"/>
    <x v="0"/>
  </r>
  <r>
    <n v="256"/>
    <x v="0"/>
    <x v="253"/>
    <x v="15"/>
    <n v="38"/>
    <x v="0"/>
    <x v="2"/>
    <s v="Sat"/>
    <s v="Sat"/>
    <m/>
    <m/>
    <m/>
    <m/>
    <b v="1"/>
    <s v="Pilates"/>
    <s v="Pilates"/>
    <m/>
    <m/>
    <d v="1899-12-30T17:37:00"/>
    <d v="1899-12-30T18:39:00"/>
    <x v="6"/>
    <b v="0"/>
    <s v=""/>
    <m/>
    <m/>
    <x v="1"/>
    <x v="2"/>
    <x v="1"/>
  </r>
  <r>
    <n v="257"/>
    <x v="1"/>
    <x v="254"/>
    <x v="28"/>
    <n v="45"/>
    <x v="1"/>
    <x v="3"/>
    <s v="Mon, Wed"/>
    <s v="Mon"/>
    <s v="Wed"/>
    <m/>
    <m/>
    <m/>
    <b v="1"/>
    <s v="XCore, HIT, Kickboxen"/>
    <s v="XCore"/>
    <s v="HIT"/>
    <s v="Kickboxen"/>
    <d v="1899-12-30T08:12:00"/>
    <d v="1899-12-30T10:09:00"/>
    <x v="73"/>
    <b v="1"/>
    <s v="coconut_pineapple, black_currant"/>
    <s v="coconut_pineapple"/>
    <s v="black_currant"/>
    <x v="0"/>
    <x v="0"/>
    <x v="1"/>
  </r>
  <r>
    <n v="258"/>
    <x v="1"/>
    <x v="255"/>
    <x v="29"/>
    <n v="22"/>
    <x v="1"/>
    <x v="3"/>
    <s v="Sat, Thu"/>
    <s v="Sat"/>
    <s v="Thu"/>
    <m/>
    <m/>
    <m/>
    <b v="0"/>
    <s v=""/>
    <m/>
    <m/>
    <m/>
    <d v="1899-12-30T19:49:00"/>
    <d v="1899-12-30T20:33:00"/>
    <x v="122"/>
    <b v="1"/>
    <s v="black_currant, passion_fruit"/>
    <s v="black_currant"/>
    <s v="passion_fruit"/>
    <x v="0"/>
    <x v="0"/>
    <x v="0"/>
  </r>
  <r>
    <n v="259"/>
    <x v="0"/>
    <x v="256"/>
    <x v="31"/>
    <n v="17"/>
    <x v="0"/>
    <x v="4"/>
    <s v="Fri, Sun, Thu, Tue, Wed"/>
    <s v="Fri"/>
    <s v="Sun"/>
    <s v="Thu"/>
    <s v="Tue"/>
    <s v="Wed"/>
    <b v="0"/>
    <s v=""/>
    <m/>
    <m/>
    <m/>
    <d v="1899-12-30T10:02:00"/>
    <d v="1899-12-30T12:17:00"/>
    <x v="33"/>
    <b v="1"/>
    <s v="lemon"/>
    <s v="lemon"/>
    <m/>
    <x v="1"/>
    <x v="1"/>
    <x v="1"/>
  </r>
  <r>
    <n v="260"/>
    <x v="0"/>
    <x v="257"/>
    <x v="16"/>
    <n v="32"/>
    <x v="1"/>
    <x v="4"/>
    <s v="Mon, Sat, Sun, Thu, Tue"/>
    <s v="Mon"/>
    <s v="Sat"/>
    <s v="Sun"/>
    <s v="Thu"/>
    <s v="Tue"/>
    <b v="0"/>
    <s v=""/>
    <m/>
    <m/>
    <m/>
    <d v="1899-12-30T08:20:00"/>
    <d v="1899-12-30T10:44:00"/>
    <x v="9"/>
    <b v="1"/>
    <s v="coconut_pineapple"/>
    <s v="coconut_pineapple"/>
    <m/>
    <x v="0"/>
    <x v="0"/>
    <x v="1"/>
  </r>
  <r>
    <n v="261"/>
    <x v="1"/>
    <x v="258"/>
    <x v="4"/>
    <n v="44"/>
    <x v="1"/>
    <x v="3"/>
    <s v="Thu, Tue"/>
    <s v="Thu"/>
    <s v="Tue"/>
    <m/>
    <m/>
    <m/>
    <b v="0"/>
    <s v=""/>
    <m/>
    <m/>
    <m/>
    <d v="1899-12-30T12:01:00"/>
    <d v="1899-12-30T14:07:00"/>
    <x v="70"/>
    <b v="0"/>
    <s v=""/>
    <m/>
    <m/>
    <x v="0"/>
    <x v="0"/>
    <x v="0"/>
  </r>
  <r>
    <n v="262"/>
    <x v="0"/>
    <x v="259"/>
    <x v="21"/>
    <n v="47"/>
    <x v="0"/>
    <x v="3"/>
    <s v="Mon, Sat"/>
    <s v="Mon"/>
    <s v="Sat"/>
    <m/>
    <m/>
    <m/>
    <b v="1"/>
    <s v="Yoga, Pilates"/>
    <s v="Yoga"/>
    <s v="Pilates"/>
    <m/>
    <d v="1899-12-30T08:39:00"/>
    <d v="1899-12-30T09:38:00"/>
    <x v="112"/>
    <b v="1"/>
    <s v="black_currant"/>
    <s v="black_currant"/>
    <m/>
    <x v="1"/>
    <x v="1"/>
    <x v="0"/>
  </r>
  <r>
    <n v="263"/>
    <x v="0"/>
    <x v="260"/>
    <x v="4"/>
    <n v="43"/>
    <x v="1"/>
    <x v="2"/>
    <s v="Thu"/>
    <s v="Thu"/>
    <m/>
    <m/>
    <m/>
    <m/>
    <b v="0"/>
    <s v=""/>
    <m/>
    <m/>
    <m/>
    <d v="1899-12-30T08:17:00"/>
    <d v="1899-12-30T09:08:00"/>
    <x v="123"/>
    <b v="0"/>
    <s v=""/>
    <m/>
    <m/>
    <x v="1"/>
    <x v="3"/>
    <x v="0"/>
  </r>
  <r>
    <n v="264"/>
    <x v="1"/>
    <x v="261"/>
    <x v="27"/>
    <n v="48"/>
    <x v="1"/>
    <x v="4"/>
    <s v="Fri, Mon, Sat, Sun, Thu"/>
    <s v="Fri"/>
    <s v="Mon"/>
    <s v="Sat"/>
    <s v="Sun"/>
    <s v="Thu"/>
    <b v="0"/>
    <s v=""/>
    <m/>
    <m/>
    <m/>
    <d v="1899-12-30T15:42:00"/>
    <d v="1899-12-30T18:35:00"/>
    <x v="65"/>
    <b v="0"/>
    <s v=""/>
    <m/>
    <m/>
    <x v="1"/>
    <x v="4"/>
    <x v="0"/>
  </r>
  <r>
    <n v="265"/>
    <x v="0"/>
    <x v="262"/>
    <x v="16"/>
    <n v="32"/>
    <x v="1"/>
    <x v="4"/>
    <s v="Fri, Sun, Thu, Tue, Wed"/>
    <s v="Fri"/>
    <s v="Sun"/>
    <s v="Thu"/>
    <s v="Tue"/>
    <s v="Wed"/>
    <b v="0"/>
    <s v=""/>
    <m/>
    <m/>
    <m/>
    <d v="1899-12-30T19:52:00"/>
    <d v="1899-12-30T21:17:00"/>
    <x v="87"/>
    <b v="1"/>
    <s v="black_currant"/>
    <s v="black_currant"/>
    <m/>
    <x v="1"/>
    <x v="2"/>
    <x v="0"/>
  </r>
  <r>
    <n v="266"/>
    <x v="0"/>
    <x v="263"/>
    <x v="13"/>
    <n v="37"/>
    <x v="1"/>
    <x v="1"/>
    <s v="Mon, Tue, Wed"/>
    <s v="Mon"/>
    <s v="Tue"/>
    <s v="Wed"/>
    <m/>
    <m/>
    <b v="1"/>
    <s v="Zumba, BodyBalance"/>
    <s v="Zumba"/>
    <s v="BodyBalance"/>
    <m/>
    <d v="1899-12-30T18:07:00"/>
    <d v="1899-12-30T20:01:00"/>
    <x v="25"/>
    <b v="0"/>
    <s v=""/>
    <m/>
    <m/>
    <x v="0"/>
    <x v="0"/>
    <x v="0"/>
  </r>
  <r>
    <n v="267"/>
    <x v="0"/>
    <x v="264"/>
    <x v="12"/>
    <n v="36"/>
    <x v="1"/>
    <x v="4"/>
    <s v="Fri, Mon, Sat, Sun, Tue"/>
    <s v="Fri"/>
    <s v="Mon"/>
    <s v="Sat"/>
    <s v="Sun"/>
    <s v="Tue"/>
    <b v="0"/>
    <s v=""/>
    <m/>
    <m/>
    <m/>
    <d v="1899-12-30T11:33:00"/>
    <d v="1899-12-30T12:40:00"/>
    <x v="82"/>
    <b v="1"/>
    <s v="coconut_pineapple"/>
    <s v="coconut_pineapple"/>
    <m/>
    <x v="0"/>
    <x v="0"/>
    <x v="0"/>
  </r>
  <r>
    <n v="268"/>
    <x v="1"/>
    <x v="265"/>
    <x v="29"/>
    <n v="22"/>
    <x v="0"/>
    <x v="0"/>
    <s v="Fri, Mon, Sat, Thu"/>
    <s v="Fri"/>
    <s v="Mon"/>
    <s v="Sat"/>
    <s v="Thu"/>
    <m/>
    <b v="0"/>
    <s v=""/>
    <m/>
    <m/>
    <m/>
    <d v="1899-12-30T18:08:00"/>
    <d v="1899-12-30T20:37:00"/>
    <x v="18"/>
    <b v="0"/>
    <s v=""/>
    <m/>
    <m/>
    <x v="1"/>
    <x v="2"/>
    <x v="1"/>
  </r>
  <r>
    <n v="269"/>
    <x v="1"/>
    <x v="266"/>
    <x v="12"/>
    <n v="37"/>
    <x v="0"/>
    <x v="3"/>
    <s v="Fri, Thu"/>
    <s v="Fri"/>
    <s v="Thu"/>
    <m/>
    <m/>
    <m/>
    <b v="0"/>
    <s v=""/>
    <m/>
    <m/>
    <m/>
    <d v="1899-12-30T09:59:00"/>
    <d v="1899-12-30T10:41:00"/>
    <x v="75"/>
    <b v="0"/>
    <s v=""/>
    <m/>
    <m/>
    <x v="0"/>
    <x v="0"/>
    <x v="1"/>
  </r>
  <r>
    <n v="270"/>
    <x v="1"/>
    <x v="267"/>
    <x v="33"/>
    <n v="39"/>
    <x v="1"/>
    <x v="1"/>
    <s v="Sat, Thu, Wed"/>
    <s v="Sat"/>
    <s v="Thu"/>
    <s v="Wed"/>
    <m/>
    <m/>
    <b v="1"/>
    <s v="BodyPump, Running, Yoga"/>
    <s v="BodyPump"/>
    <s v="Running"/>
    <s v="Yoga"/>
    <d v="1899-12-30T15:19:00"/>
    <d v="1899-12-30T17:35:00"/>
    <x v="39"/>
    <b v="0"/>
    <s v=""/>
    <m/>
    <m/>
    <x v="1"/>
    <x v="2"/>
    <x v="0"/>
  </r>
  <r>
    <n v="271"/>
    <x v="1"/>
    <x v="268"/>
    <x v="21"/>
    <n v="47"/>
    <x v="1"/>
    <x v="1"/>
    <s v="Fri, Mon, Sun"/>
    <s v="Fri"/>
    <s v="Mon"/>
    <s v="Sun"/>
    <m/>
    <m/>
    <b v="0"/>
    <s v=""/>
    <m/>
    <m/>
    <m/>
    <d v="1899-12-30T10:08:00"/>
    <d v="1899-12-30T11:02:00"/>
    <x v="55"/>
    <b v="0"/>
    <s v=""/>
    <m/>
    <m/>
    <x v="1"/>
    <x v="4"/>
    <x v="1"/>
  </r>
  <r>
    <n v="272"/>
    <x v="1"/>
    <x v="269"/>
    <x v="36"/>
    <n v="49"/>
    <x v="0"/>
    <x v="3"/>
    <s v="Fri, Tue"/>
    <s v="Fri"/>
    <s v="Tue"/>
    <m/>
    <m/>
    <m/>
    <b v="1"/>
    <s v="Yoga"/>
    <s v="Yoga"/>
    <m/>
    <m/>
    <d v="1899-12-30T13:20:00"/>
    <d v="1899-12-30T14:26:00"/>
    <x v="66"/>
    <b v="0"/>
    <s v=""/>
    <m/>
    <m/>
    <x v="1"/>
    <x v="1"/>
    <x v="0"/>
  </r>
  <r>
    <n v="273"/>
    <x v="1"/>
    <x v="270"/>
    <x v="0"/>
    <n v="27"/>
    <x v="1"/>
    <x v="3"/>
    <s v="Sun, Thu"/>
    <s v="Sun"/>
    <s v="Thu"/>
    <m/>
    <m/>
    <m/>
    <b v="0"/>
    <s v=""/>
    <m/>
    <m/>
    <m/>
    <d v="1899-12-30T11:23:00"/>
    <d v="1899-12-30T13:00:00"/>
    <x v="124"/>
    <b v="0"/>
    <s v=""/>
    <m/>
    <m/>
    <x v="1"/>
    <x v="1"/>
    <x v="0"/>
  </r>
  <r>
    <n v="274"/>
    <x v="0"/>
    <x v="271"/>
    <x v="3"/>
    <n v="44"/>
    <x v="1"/>
    <x v="3"/>
    <s v="Fri, Sun"/>
    <s v="Fri"/>
    <s v="Sun"/>
    <m/>
    <m/>
    <m/>
    <b v="1"/>
    <s v="Pilates, Zumba, Running"/>
    <s v="Pilates"/>
    <s v="Zumba"/>
    <s v="Running"/>
    <d v="1899-12-30T19:30:00"/>
    <d v="1899-12-30T22:04:00"/>
    <x v="20"/>
    <b v="0"/>
    <s v=""/>
    <m/>
    <m/>
    <x v="0"/>
    <x v="0"/>
    <x v="1"/>
  </r>
  <r>
    <n v="275"/>
    <x v="1"/>
    <x v="272"/>
    <x v="14"/>
    <n v="13"/>
    <x v="1"/>
    <x v="3"/>
    <s v="Fri, Tue"/>
    <s v="Fri"/>
    <s v="Tue"/>
    <m/>
    <m/>
    <m/>
    <b v="0"/>
    <s v=""/>
    <m/>
    <m/>
    <m/>
    <d v="1899-12-30T09:38:00"/>
    <d v="1899-12-30T10:11:00"/>
    <x v="11"/>
    <b v="0"/>
    <s v=""/>
    <m/>
    <m/>
    <x v="0"/>
    <x v="0"/>
    <x v="0"/>
  </r>
  <r>
    <n v="276"/>
    <x v="1"/>
    <x v="273"/>
    <x v="17"/>
    <n v="14"/>
    <x v="1"/>
    <x v="3"/>
    <s v="Thu, Tue"/>
    <s v="Thu"/>
    <s v="Tue"/>
    <m/>
    <m/>
    <m/>
    <b v="1"/>
    <s v="LesMiles"/>
    <s v="LesMiles"/>
    <m/>
    <m/>
    <d v="1899-12-30T11:21:00"/>
    <d v="1899-12-30T14:18:00"/>
    <x v="56"/>
    <b v="0"/>
    <s v=""/>
    <m/>
    <m/>
    <x v="0"/>
    <x v="0"/>
    <x v="0"/>
  </r>
  <r>
    <n v="277"/>
    <x v="0"/>
    <x v="274"/>
    <x v="38"/>
    <n v="25"/>
    <x v="1"/>
    <x v="3"/>
    <s v="Thu, Wed"/>
    <s v="Thu"/>
    <s v="Wed"/>
    <m/>
    <m/>
    <m/>
    <b v="0"/>
    <s v=""/>
    <m/>
    <m/>
    <m/>
    <d v="1899-12-30T10:38:00"/>
    <d v="1899-12-30T12:32:00"/>
    <x v="25"/>
    <b v="1"/>
    <s v="coconut_pineapple"/>
    <s v="coconut_pineapple"/>
    <m/>
    <x v="1"/>
    <x v="4"/>
    <x v="1"/>
  </r>
  <r>
    <n v="278"/>
    <x v="1"/>
    <x v="275"/>
    <x v="16"/>
    <n v="32"/>
    <x v="0"/>
    <x v="3"/>
    <s v="Fri, Sun"/>
    <s v="Fri"/>
    <s v="Sun"/>
    <m/>
    <m/>
    <m/>
    <b v="1"/>
    <s v="Yoga"/>
    <s v="Yoga"/>
    <m/>
    <m/>
    <d v="1899-12-30T13:19:00"/>
    <d v="1899-12-30T14:52:00"/>
    <x v="41"/>
    <b v="1"/>
    <s v="lemon, black_currant"/>
    <s v="lemon"/>
    <s v="black_currant"/>
    <x v="1"/>
    <x v="2"/>
    <x v="0"/>
  </r>
  <r>
    <n v="279"/>
    <x v="0"/>
    <x v="276"/>
    <x v="25"/>
    <n v="29"/>
    <x v="1"/>
    <x v="0"/>
    <s v="Fri, Mon, Sun, Wed"/>
    <s v="Fri"/>
    <s v="Mon"/>
    <s v="Sun"/>
    <s v="Wed"/>
    <m/>
    <b v="0"/>
    <s v=""/>
    <m/>
    <m/>
    <m/>
    <d v="1899-12-30T10:43:00"/>
    <d v="1899-12-30T11:52:00"/>
    <x v="43"/>
    <b v="1"/>
    <s v="lemon"/>
    <s v="lemon"/>
    <m/>
    <x v="1"/>
    <x v="4"/>
    <x v="1"/>
  </r>
  <r>
    <n v="280"/>
    <x v="1"/>
    <x v="277"/>
    <x v="2"/>
    <n v="41"/>
    <x v="1"/>
    <x v="3"/>
    <s v="Fri, Thu"/>
    <s v="Fri"/>
    <s v="Thu"/>
    <m/>
    <m/>
    <m/>
    <b v="1"/>
    <s v="Pilates, Yoga"/>
    <s v="Pilates"/>
    <s v="Yoga"/>
    <m/>
    <d v="1899-12-30T10:29:00"/>
    <d v="1899-12-30T12:37:00"/>
    <x v="119"/>
    <b v="1"/>
    <s v="coconut_pineapple, orange"/>
    <s v="coconut_pineapple"/>
    <s v="orange"/>
    <x v="1"/>
    <x v="1"/>
    <x v="0"/>
  </r>
  <r>
    <n v="281"/>
    <x v="1"/>
    <x v="278"/>
    <x v="19"/>
    <n v="21"/>
    <x v="0"/>
    <x v="3"/>
    <s v="Fri, Mon"/>
    <s v="Fri"/>
    <s v="Mon"/>
    <m/>
    <m/>
    <m/>
    <b v="1"/>
    <s v="Pilates, XCore, Kickboxen"/>
    <s v="Pilates"/>
    <s v="XCore"/>
    <s v="Kickboxen"/>
    <d v="1899-12-30T15:40:00"/>
    <d v="1899-12-30T16:47:00"/>
    <x v="82"/>
    <b v="0"/>
    <s v=""/>
    <m/>
    <m/>
    <x v="1"/>
    <x v="1"/>
    <x v="0"/>
  </r>
  <r>
    <n v="282"/>
    <x v="1"/>
    <x v="279"/>
    <x v="38"/>
    <n v="25"/>
    <x v="1"/>
    <x v="4"/>
    <s v="Mon, Sat, Sun, Thu, Wed"/>
    <s v="Mon"/>
    <s v="Sat"/>
    <s v="Sun"/>
    <s v="Thu"/>
    <s v="Wed"/>
    <b v="1"/>
    <s v="Zumba, BodyPump"/>
    <s v="Zumba"/>
    <s v="BodyPump"/>
    <m/>
    <d v="1899-12-30T12:25:00"/>
    <d v="1899-12-30T13:40:00"/>
    <x v="125"/>
    <b v="1"/>
    <s v="black_currant"/>
    <s v="black_currant"/>
    <m/>
    <x v="0"/>
    <x v="0"/>
    <x v="0"/>
  </r>
  <r>
    <n v="283"/>
    <x v="0"/>
    <x v="280"/>
    <x v="19"/>
    <n v="21"/>
    <x v="0"/>
    <x v="3"/>
    <s v="Fri, Sat"/>
    <s v="Fri"/>
    <s v="Sat"/>
    <m/>
    <m/>
    <m/>
    <b v="1"/>
    <s v="LesMiles"/>
    <s v="LesMiles"/>
    <m/>
    <m/>
    <d v="1899-12-30T14:55:00"/>
    <d v="1899-12-30T15:28:00"/>
    <x v="11"/>
    <b v="1"/>
    <s v="berry_boost"/>
    <s v="berry_boost"/>
    <m/>
    <x v="1"/>
    <x v="2"/>
    <x v="1"/>
  </r>
  <r>
    <n v="284"/>
    <x v="0"/>
    <x v="281"/>
    <x v="14"/>
    <n v="13"/>
    <x v="1"/>
    <x v="3"/>
    <s v="Mon, Sat"/>
    <s v="Mon"/>
    <s v="Sat"/>
    <m/>
    <m/>
    <m/>
    <b v="0"/>
    <s v=""/>
    <m/>
    <m/>
    <m/>
    <d v="1899-12-30T12:52:00"/>
    <d v="1899-12-30T14:03:00"/>
    <x v="45"/>
    <b v="0"/>
    <s v=""/>
    <m/>
    <m/>
    <x v="0"/>
    <x v="0"/>
    <x v="1"/>
  </r>
  <r>
    <n v="285"/>
    <x v="1"/>
    <x v="282"/>
    <x v="27"/>
    <n v="48"/>
    <x v="0"/>
    <x v="0"/>
    <s v="Mon, Sun, Thu, Wed"/>
    <s v="Mon"/>
    <s v="Sun"/>
    <s v="Thu"/>
    <s v="Wed"/>
    <m/>
    <b v="0"/>
    <s v=""/>
    <m/>
    <m/>
    <m/>
    <d v="1899-12-30T13:33:00"/>
    <d v="1899-12-30T14:08:00"/>
    <x v="49"/>
    <b v="1"/>
    <s v="lemon"/>
    <s v="lemon"/>
    <m/>
    <x v="0"/>
    <x v="0"/>
    <x v="1"/>
  </r>
  <r>
    <n v="286"/>
    <x v="1"/>
    <x v="283"/>
    <x v="7"/>
    <n v="20"/>
    <x v="0"/>
    <x v="4"/>
    <s v="Fri, Mon, Sat, Sun, Tue"/>
    <s v="Fri"/>
    <s v="Mon"/>
    <s v="Sat"/>
    <s v="Sun"/>
    <s v="Tue"/>
    <b v="0"/>
    <s v=""/>
    <m/>
    <m/>
    <m/>
    <d v="1899-12-30T20:16:00"/>
    <d v="1899-12-30T21:52:00"/>
    <x v="126"/>
    <b v="1"/>
    <s v="black_currant, coconut_pineapple"/>
    <s v="black_currant"/>
    <s v="coconut_pineapple"/>
    <x v="1"/>
    <x v="2"/>
    <x v="1"/>
  </r>
  <r>
    <n v="287"/>
    <x v="1"/>
    <x v="266"/>
    <x v="12"/>
    <n v="37"/>
    <x v="0"/>
    <x v="3"/>
    <s v="Fri, Thu"/>
    <s v="Fri"/>
    <s v="Thu"/>
    <m/>
    <m/>
    <m/>
    <b v="1"/>
    <s v="BodyPump, Yoga"/>
    <s v="BodyPump"/>
    <s v="Yoga"/>
    <m/>
    <d v="1899-12-30T19:39:00"/>
    <d v="1899-12-30T20:39:00"/>
    <x v="127"/>
    <b v="0"/>
    <s v=""/>
    <m/>
    <m/>
    <x v="0"/>
    <x v="0"/>
    <x v="0"/>
  </r>
  <r>
    <n v="288"/>
    <x v="1"/>
    <x v="284"/>
    <x v="20"/>
    <n v="42"/>
    <x v="0"/>
    <x v="4"/>
    <s v="Fri, Mon, Sat, Thu, Tue"/>
    <s v="Fri"/>
    <s v="Mon"/>
    <s v="Sat"/>
    <s v="Thu"/>
    <s v="Tue"/>
    <b v="0"/>
    <s v=""/>
    <m/>
    <m/>
    <m/>
    <d v="1899-12-30T17:30:00"/>
    <d v="1899-12-30T20:15:00"/>
    <x v="54"/>
    <b v="1"/>
    <s v="coconut_pineapple"/>
    <s v="coconut_pineapple"/>
    <m/>
    <x v="0"/>
    <x v="0"/>
    <x v="0"/>
  </r>
  <r>
    <n v="289"/>
    <x v="0"/>
    <x v="285"/>
    <x v="7"/>
    <n v="20"/>
    <x v="0"/>
    <x v="1"/>
    <s v="Mon, Sat, Tue"/>
    <s v="Mon"/>
    <s v="Sat"/>
    <s v="Tue"/>
    <m/>
    <m/>
    <b v="1"/>
    <s v="Zumba, Kickboxen"/>
    <s v="Zumba"/>
    <s v="Kickboxen"/>
    <m/>
    <d v="1899-12-30T08:53:00"/>
    <d v="1899-12-30T11:11:00"/>
    <x v="102"/>
    <b v="0"/>
    <s v=""/>
    <m/>
    <m/>
    <x v="1"/>
    <x v="2"/>
    <x v="0"/>
  </r>
  <r>
    <n v="290"/>
    <x v="0"/>
    <x v="286"/>
    <x v="9"/>
    <n v="26"/>
    <x v="1"/>
    <x v="3"/>
    <s v="Sun, Tue"/>
    <s v="Sun"/>
    <s v="Tue"/>
    <m/>
    <m/>
    <m/>
    <b v="1"/>
    <s v="XCore, BodyPump"/>
    <s v="XCore"/>
    <s v="BodyPump"/>
    <m/>
    <d v="1899-12-30T15:52:00"/>
    <d v="1899-12-30T18:05:00"/>
    <x v="108"/>
    <b v="0"/>
    <s v=""/>
    <m/>
    <m/>
    <x v="0"/>
    <x v="0"/>
    <x v="1"/>
  </r>
  <r>
    <n v="291"/>
    <x v="0"/>
    <x v="287"/>
    <x v="20"/>
    <n v="42"/>
    <x v="0"/>
    <x v="4"/>
    <s v="Fri, Sat, Sun, Thu, Wed"/>
    <s v="Fri"/>
    <s v="Sat"/>
    <s v="Sun"/>
    <s v="Thu"/>
    <s v="Wed"/>
    <b v="0"/>
    <s v=""/>
    <m/>
    <m/>
    <m/>
    <d v="1899-12-30T09:49:00"/>
    <d v="1899-12-30T12:43:00"/>
    <x v="90"/>
    <b v="1"/>
    <s v="berry_boost"/>
    <s v="berry_boost"/>
    <m/>
    <x v="0"/>
    <x v="0"/>
    <x v="0"/>
  </r>
  <r>
    <n v="292"/>
    <x v="1"/>
    <x v="288"/>
    <x v="31"/>
    <n v="17"/>
    <x v="1"/>
    <x v="2"/>
    <s v="Fri"/>
    <s v="Fri"/>
    <m/>
    <m/>
    <m/>
    <m/>
    <b v="0"/>
    <s v=""/>
    <m/>
    <m/>
    <m/>
    <d v="1899-12-30T16:59:00"/>
    <d v="1899-12-30T18:41:00"/>
    <x v="23"/>
    <b v="1"/>
    <s v="passion_fruit, black_currant"/>
    <s v="passion_fruit"/>
    <s v="black_currant"/>
    <x v="0"/>
    <x v="0"/>
    <x v="1"/>
  </r>
  <r>
    <n v="293"/>
    <x v="0"/>
    <x v="289"/>
    <x v="9"/>
    <n v="26"/>
    <x v="0"/>
    <x v="2"/>
    <s v="Thu"/>
    <s v="Thu"/>
    <m/>
    <m/>
    <m/>
    <m/>
    <b v="1"/>
    <s v="Yoga, Kickboxen"/>
    <s v="Yoga"/>
    <s v="Kickboxen"/>
    <m/>
    <d v="1899-12-30T16:31:00"/>
    <d v="1899-12-30T17:47:00"/>
    <x v="128"/>
    <b v="1"/>
    <s v="lemon, passion_fruit"/>
    <s v="lemon"/>
    <s v="passion_fruit"/>
    <x v="1"/>
    <x v="4"/>
    <x v="0"/>
  </r>
  <r>
    <n v="294"/>
    <x v="0"/>
    <x v="290"/>
    <x v="22"/>
    <n v="41"/>
    <x v="0"/>
    <x v="2"/>
    <s v="Wed"/>
    <s v="Wed"/>
    <m/>
    <m/>
    <m/>
    <m/>
    <b v="1"/>
    <s v="Yoga"/>
    <s v="Yoga"/>
    <m/>
    <m/>
    <d v="1899-12-30T13:14:00"/>
    <d v="1899-12-30T15:34:00"/>
    <x v="74"/>
    <b v="0"/>
    <s v=""/>
    <m/>
    <m/>
    <x v="0"/>
    <x v="0"/>
    <x v="1"/>
  </r>
  <r>
    <n v="295"/>
    <x v="1"/>
    <x v="291"/>
    <x v="10"/>
    <n v="36"/>
    <x v="1"/>
    <x v="1"/>
    <s v="Fri, Thu, Wed"/>
    <s v="Fri"/>
    <s v="Thu"/>
    <s v="Wed"/>
    <m/>
    <m/>
    <b v="0"/>
    <s v=""/>
    <m/>
    <m/>
    <m/>
    <d v="1899-12-30T15:28:00"/>
    <d v="1899-12-30T17:57:00"/>
    <x v="18"/>
    <b v="1"/>
    <s v="coconut_pineapple, orange"/>
    <s v="coconut_pineapple"/>
    <s v="orange"/>
    <x v="0"/>
    <x v="0"/>
    <x v="1"/>
  </r>
  <r>
    <n v="296"/>
    <x v="0"/>
    <x v="292"/>
    <x v="30"/>
    <n v="23"/>
    <x v="1"/>
    <x v="0"/>
    <s v="Fri, Sun, Thu, Wed"/>
    <s v="Fri"/>
    <s v="Sun"/>
    <s v="Thu"/>
    <s v="Wed"/>
    <m/>
    <b v="0"/>
    <s v=""/>
    <m/>
    <m/>
    <m/>
    <d v="1899-12-30T10:17:00"/>
    <d v="1899-12-30T12:21:00"/>
    <x v="129"/>
    <b v="1"/>
    <s v="lemon, passion_fruit"/>
    <s v="lemon"/>
    <s v="passion_fruit"/>
    <x v="0"/>
    <x v="0"/>
    <x v="0"/>
  </r>
  <r>
    <n v="297"/>
    <x v="1"/>
    <x v="293"/>
    <x v="6"/>
    <n v="30"/>
    <x v="1"/>
    <x v="4"/>
    <s v="Fri, Mon, Sun, Thu, Wed"/>
    <s v="Fri"/>
    <s v="Mon"/>
    <s v="Sun"/>
    <s v="Thu"/>
    <s v="Wed"/>
    <b v="0"/>
    <s v=""/>
    <m/>
    <m/>
    <m/>
    <d v="1899-12-30T17:29:00"/>
    <d v="1899-12-30T18:25:00"/>
    <x v="81"/>
    <b v="0"/>
    <s v=""/>
    <m/>
    <m/>
    <x v="1"/>
    <x v="3"/>
    <x v="1"/>
  </r>
  <r>
    <n v="298"/>
    <x v="0"/>
    <x v="294"/>
    <x v="11"/>
    <n v="34"/>
    <x v="0"/>
    <x v="3"/>
    <s v="Mon, Sun"/>
    <s v="Mon"/>
    <s v="Sun"/>
    <m/>
    <m/>
    <m/>
    <b v="0"/>
    <s v=""/>
    <m/>
    <m/>
    <m/>
    <d v="1899-12-30T19:17:00"/>
    <d v="1899-12-30T20:30:00"/>
    <x v="86"/>
    <b v="0"/>
    <s v=""/>
    <m/>
    <m/>
    <x v="1"/>
    <x v="1"/>
    <x v="0"/>
  </r>
  <r>
    <n v="299"/>
    <x v="0"/>
    <x v="295"/>
    <x v="4"/>
    <n v="43"/>
    <x v="0"/>
    <x v="4"/>
    <s v="Fri, Sat, Sun, Tue, Wed"/>
    <s v="Fri"/>
    <s v="Sat"/>
    <s v="Sun"/>
    <s v="Tue"/>
    <s v="Wed"/>
    <b v="0"/>
    <s v=""/>
    <m/>
    <m/>
    <m/>
    <d v="1899-12-30T12:31:00"/>
    <d v="1899-12-30T14:11:00"/>
    <x v="89"/>
    <b v="1"/>
    <s v="orange, passion_fruit"/>
    <s v="orange"/>
    <s v="passion_fruit"/>
    <x v="1"/>
    <x v="2"/>
    <x v="1"/>
  </r>
  <r>
    <n v="300"/>
    <x v="1"/>
    <x v="296"/>
    <x v="14"/>
    <n v="13"/>
    <x v="0"/>
    <x v="1"/>
    <s v="Mon, Sat, Wed"/>
    <s v="Mon"/>
    <s v="Sat"/>
    <s v="Wed"/>
    <m/>
    <m/>
    <b v="1"/>
    <s v="Spinning, XCore, LesMiles"/>
    <s v="Spinning"/>
    <s v="XCore"/>
    <s v="LesMiles"/>
    <d v="1899-12-30T14:53:00"/>
    <d v="1899-12-30T15:55:00"/>
    <x v="6"/>
    <b v="0"/>
    <s v=""/>
    <m/>
    <m/>
    <x v="0"/>
    <x v="0"/>
    <x v="1"/>
  </r>
  <r>
    <n v="301"/>
    <x v="0"/>
    <x v="297"/>
    <x v="30"/>
    <n v="23"/>
    <x v="0"/>
    <x v="1"/>
    <s v="Fri, Sat, Thu"/>
    <s v="Fri"/>
    <s v="Sat"/>
    <s v="Thu"/>
    <m/>
    <m/>
    <b v="1"/>
    <s v="Kickboxen, LesMiles, Yoga"/>
    <s v="Kickboxen"/>
    <s v="LesMiles"/>
    <s v="Yoga"/>
    <d v="1899-12-30T13:06:00"/>
    <d v="1899-12-30T14:35:00"/>
    <x v="118"/>
    <b v="1"/>
    <s v="coconut_pineapple, orange"/>
    <s v="coconut_pineapple"/>
    <s v="orange"/>
    <x v="1"/>
    <x v="1"/>
    <x v="1"/>
  </r>
  <r>
    <n v="302"/>
    <x v="1"/>
    <x v="298"/>
    <x v="28"/>
    <n v="45"/>
    <x v="1"/>
    <x v="1"/>
    <s v="Fri, Tue, Wed"/>
    <s v="Fri"/>
    <s v="Tue"/>
    <s v="Wed"/>
    <m/>
    <m/>
    <b v="1"/>
    <s v="BodyPump"/>
    <s v="BodyPump"/>
    <m/>
    <m/>
    <d v="1899-12-30T12:48:00"/>
    <d v="1899-12-30T15:24:00"/>
    <x v="78"/>
    <b v="0"/>
    <s v=""/>
    <m/>
    <m/>
    <x v="1"/>
    <x v="3"/>
    <x v="0"/>
  </r>
  <r>
    <n v="303"/>
    <x v="0"/>
    <x v="299"/>
    <x v="20"/>
    <n v="42"/>
    <x v="1"/>
    <x v="1"/>
    <s v="Sun, Thu, Wed"/>
    <s v="Sun"/>
    <s v="Thu"/>
    <s v="Wed"/>
    <m/>
    <m/>
    <b v="0"/>
    <s v=""/>
    <m/>
    <m/>
    <m/>
    <d v="1899-12-30T13:32:00"/>
    <d v="1899-12-30T14:56:00"/>
    <x v="63"/>
    <b v="0"/>
    <s v=""/>
    <m/>
    <m/>
    <x v="1"/>
    <x v="4"/>
    <x v="0"/>
  </r>
  <r>
    <n v="304"/>
    <x v="1"/>
    <x v="300"/>
    <x v="10"/>
    <n v="35"/>
    <x v="1"/>
    <x v="2"/>
    <s v="Sat"/>
    <s v="Sat"/>
    <m/>
    <m/>
    <m/>
    <m/>
    <b v="0"/>
    <s v=""/>
    <m/>
    <m/>
    <m/>
    <d v="1899-12-30T13:53:00"/>
    <d v="1899-12-30T14:33:00"/>
    <x v="77"/>
    <b v="0"/>
    <s v=""/>
    <m/>
    <m/>
    <x v="0"/>
    <x v="0"/>
    <x v="1"/>
  </r>
  <r>
    <n v="305"/>
    <x v="1"/>
    <x v="301"/>
    <x v="9"/>
    <n v="26"/>
    <x v="1"/>
    <x v="0"/>
    <s v="Sat, Sun, Thu, Wed"/>
    <s v="Sat"/>
    <s v="Sun"/>
    <s v="Thu"/>
    <s v="Wed"/>
    <m/>
    <b v="1"/>
    <s v="Spinning, Running, LesMiles"/>
    <s v="Spinning"/>
    <s v="Running"/>
    <s v="LesMiles"/>
    <d v="1899-12-30T08:48:00"/>
    <d v="1899-12-30T10:35:00"/>
    <x v="34"/>
    <b v="0"/>
    <s v=""/>
    <m/>
    <m/>
    <x v="0"/>
    <x v="0"/>
    <x v="1"/>
  </r>
  <r>
    <n v="306"/>
    <x v="1"/>
    <x v="302"/>
    <x v="7"/>
    <n v="20"/>
    <x v="1"/>
    <x v="3"/>
    <s v="Fri, Sun"/>
    <s v="Fri"/>
    <s v="Sun"/>
    <m/>
    <m/>
    <m/>
    <b v="1"/>
    <s v="Running, LesMiles, Yoga"/>
    <s v="Running"/>
    <s v="LesMiles"/>
    <s v="Yoga"/>
    <d v="1899-12-30T11:47:00"/>
    <d v="1899-12-30T14:10:00"/>
    <x v="83"/>
    <b v="1"/>
    <s v="lemon"/>
    <s v="lemon"/>
    <m/>
    <x v="1"/>
    <x v="1"/>
    <x v="0"/>
  </r>
  <r>
    <n v="307"/>
    <x v="0"/>
    <x v="303"/>
    <x v="16"/>
    <n v="32"/>
    <x v="1"/>
    <x v="1"/>
    <s v="Mon, Sun, Wed"/>
    <s v="Mon"/>
    <s v="Sun"/>
    <s v="Wed"/>
    <m/>
    <m/>
    <b v="0"/>
    <s v=""/>
    <m/>
    <m/>
    <m/>
    <d v="1899-12-30T17:30:00"/>
    <d v="1899-12-30T20:14:00"/>
    <x v="130"/>
    <b v="0"/>
    <s v=""/>
    <m/>
    <m/>
    <x v="1"/>
    <x v="1"/>
    <x v="0"/>
  </r>
  <r>
    <n v="308"/>
    <x v="0"/>
    <x v="304"/>
    <x v="34"/>
    <n v="31"/>
    <x v="0"/>
    <x v="0"/>
    <s v="Fri, Mon, Sat, Thu"/>
    <s v="Fri"/>
    <s v="Mon"/>
    <s v="Sat"/>
    <s v="Thu"/>
    <m/>
    <b v="0"/>
    <s v=""/>
    <m/>
    <m/>
    <m/>
    <d v="1899-12-30T11:54:00"/>
    <d v="1899-12-30T13:21:00"/>
    <x v="38"/>
    <b v="0"/>
    <s v=""/>
    <m/>
    <m/>
    <x v="0"/>
    <x v="0"/>
    <x v="0"/>
  </r>
  <r>
    <n v="309"/>
    <x v="1"/>
    <x v="305"/>
    <x v="25"/>
    <n v="29"/>
    <x v="1"/>
    <x v="1"/>
    <s v="Mon, Sat, Thu"/>
    <s v="Mon"/>
    <s v="Sat"/>
    <s v="Thu"/>
    <m/>
    <m/>
    <b v="0"/>
    <s v=""/>
    <m/>
    <m/>
    <m/>
    <d v="1899-12-30T15:05:00"/>
    <d v="1899-12-30T16:19:00"/>
    <x v="131"/>
    <b v="0"/>
    <s v=""/>
    <m/>
    <m/>
    <x v="1"/>
    <x v="2"/>
    <x v="0"/>
  </r>
  <r>
    <n v="310"/>
    <x v="1"/>
    <x v="306"/>
    <x v="11"/>
    <n v="34"/>
    <x v="1"/>
    <x v="3"/>
    <s v="Mon, Sun"/>
    <s v="Mon"/>
    <s v="Sun"/>
    <m/>
    <m/>
    <m/>
    <b v="1"/>
    <s v="BodyPump, Pilates, Running"/>
    <s v="BodyPump"/>
    <s v="Pilates"/>
    <s v="Running"/>
    <d v="1899-12-30T19:18:00"/>
    <d v="1899-12-30T19:53:00"/>
    <x v="49"/>
    <b v="0"/>
    <s v=""/>
    <m/>
    <m/>
    <x v="1"/>
    <x v="1"/>
    <x v="0"/>
  </r>
  <r>
    <n v="311"/>
    <x v="0"/>
    <x v="307"/>
    <x v="3"/>
    <n v="44"/>
    <x v="1"/>
    <x v="2"/>
    <s v="Mon"/>
    <s v="Mon"/>
    <m/>
    <m/>
    <m/>
    <m/>
    <b v="0"/>
    <s v=""/>
    <m/>
    <m/>
    <m/>
    <d v="1899-12-30T17:41:00"/>
    <d v="1899-12-30T18:15:00"/>
    <x v="107"/>
    <b v="1"/>
    <s v="lemon, orange"/>
    <s v="lemon"/>
    <s v="orange"/>
    <x v="1"/>
    <x v="1"/>
    <x v="1"/>
  </r>
  <r>
    <n v="312"/>
    <x v="1"/>
    <x v="158"/>
    <x v="29"/>
    <n v="22"/>
    <x v="0"/>
    <x v="4"/>
    <s v="Fri, Sat, Thu, Tue, Wed"/>
    <s v="Fri"/>
    <s v="Sat"/>
    <s v="Thu"/>
    <s v="Tue"/>
    <s v="Wed"/>
    <b v="1"/>
    <s v="LesMiles"/>
    <s v="LesMiles"/>
    <m/>
    <m/>
    <d v="1899-12-30T17:41:00"/>
    <d v="1899-12-30T19:31:00"/>
    <x v="97"/>
    <b v="0"/>
    <s v=""/>
    <m/>
    <m/>
    <x v="0"/>
    <x v="0"/>
    <x v="1"/>
  </r>
  <r>
    <n v="313"/>
    <x v="1"/>
    <x v="308"/>
    <x v="27"/>
    <n v="48"/>
    <x v="1"/>
    <x v="2"/>
    <s v="Tue"/>
    <s v="Tue"/>
    <m/>
    <m/>
    <m/>
    <m/>
    <b v="1"/>
    <s v="BodyPump, HIT"/>
    <s v="BodyPump"/>
    <s v="HIT"/>
    <m/>
    <d v="1899-12-30T19:29:00"/>
    <d v="1899-12-30T22:21:00"/>
    <x v="72"/>
    <b v="1"/>
    <s v="passion_fruit, coconut_pineapple"/>
    <s v="passion_fruit"/>
    <s v="coconut_pineapple"/>
    <x v="0"/>
    <x v="0"/>
    <x v="0"/>
  </r>
  <r>
    <n v="314"/>
    <x v="1"/>
    <x v="309"/>
    <x v="12"/>
    <n v="36"/>
    <x v="1"/>
    <x v="2"/>
    <s v="Sun"/>
    <s v="Sun"/>
    <m/>
    <m/>
    <m/>
    <m/>
    <b v="0"/>
    <s v=""/>
    <m/>
    <m/>
    <m/>
    <d v="1899-12-30T19:20:00"/>
    <d v="1899-12-30T21:58:00"/>
    <x v="12"/>
    <b v="1"/>
    <s v="coconut_pineapple"/>
    <s v="coconut_pineapple"/>
    <m/>
    <x v="0"/>
    <x v="0"/>
    <x v="1"/>
  </r>
  <r>
    <n v="315"/>
    <x v="1"/>
    <x v="310"/>
    <x v="24"/>
    <n v="16"/>
    <x v="0"/>
    <x v="2"/>
    <s v="Tue"/>
    <s v="Tue"/>
    <m/>
    <m/>
    <m/>
    <m/>
    <b v="1"/>
    <s v="XCore, Spinning, BodyPump"/>
    <s v="XCore"/>
    <s v="Spinning"/>
    <s v="BodyPump"/>
    <d v="1899-12-30T08:38:00"/>
    <d v="1899-12-30T10:25:00"/>
    <x v="34"/>
    <b v="0"/>
    <s v=""/>
    <m/>
    <m/>
    <x v="1"/>
    <x v="2"/>
    <x v="0"/>
  </r>
  <r>
    <n v="316"/>
    <x v="1"/>
    <x v="311"/>
    <x v="17"/>
    <n v="14"/>
    <x v="1"/>
    <x v="1"/>
    <s v="Fri, Tue, Wed"/>
    <s v="Fri"/>
    <s v="Tue"/>
    <s v="Wed"/>
    <m/>
    <m/>
    <b v="0"/>
    <s v=""/>
    <m/>
    <m/>
    <m/>
    <d v="1899-12-30T20:52:00"/>
    <d v="1899-12-30T22:02:00"/>
    <x v="96"/>
    <b v="1"/>
    <s v="coconut_pineapple, lemon"/>
    <s v="coconut_pineapple"/>
    <s v="lemon"/>
    <x v="1"/>
    <x v="1"/>
    <x v="0"/>
  </r>
  <r>
    <n v="317"/>
    <x v="1"/>
    <x v="312"/>
    <x v="10"/>
    <n v="36"/>
    <x v="0"/>
    <x v="1"/>
    <s v="Mon, Sat, Thu"/>
    <s v="Mon"/>
    <s v="Sat"/>
    <s v="Thu"/>
    <m/>
    <m/>
    <b v="0"/>
    <s v=""/>
    <m/>
    <m/>
    <m/>
    <d v="1899-12-30T11:06:00"/>
    <d v="1899-12-30T11:44:00"/>
    <x v="114"/>
    <b v="1"/>
    <s v="berry_boost"/>
    <s v="berry_boost"/>
    <m/>
    <x v="1"/>
    <x v="1"/>
    <x v="1"/>
  </r>
  <r>
    <n v="318"/>
    <x v="1"/>
    <x v="313"/>
    <x v="22"/>
    <n v="40"/>
    <x v="0"/>
    <x v="3"/>
    <s v="Sun, Thu"/>
    <s v="Sun"/>
    <s v="Thu"/>
    <m/>
    <m/>
    <m/>
    <b v="0"/>
    <s v=""/>
    <m/>
    <m/>
    <m/>
    <d v="1899-12-30T11:37:00"/>
    <d v="1899-12-30T14:23:00"/>
    <x v="57"/>
    <b v="0"/>
    <s v=""/>
    <m/>
    <m/>
    <x v="1"/>
    <x v="1"/>
    <x v="0"/>
  </r>
  <r>
    <n v="319"/>
    <x v="1"/>
    <x v="314"/>
    <x v="16"/>
    <n v="32"/>
    <x v="0"/>
    <x v="1"/>
    <s v="Sat, Sun, Wed"/>
    <s v="Sat"/>
    <s v="Sun"/>
    <s v="Wed"/>
    <m/>
    <m/>
    <b v="0"/>
    <s v=""/>
    <m/>
    <m/>
    <m/>
    <d v="1899-12-30T10:38:00"/>
    <d v="1899-12-30T13:05:00"/>
    <x v="51"/>
    <b v="1"/>
    <s v="lemon, black_currant"/>
    <s v="lemon"/>
    <s v="black_currant"/>
    <x v="0"/>
    <x v="0"/>
    <x v="1"/>
  </r>
  <r>
    <n v="320"/>
    <x v="0"/>
    <x v="315"/>
    <x v="35"/>
    <n v="12"/>
    <x v="1"/>
    <x v="4"/>
    <s v="Mon, Sat, Sun, Thu, Wed"/>
    <s v="Mon"/>
    <s v="Sat"/>
    <s v="Sun"/>
    <s v="Thu"/>
    <s v="Wed"/>
    <b v="1"/>
    <s v="HIT, Zumba"/>
    <s v="HIT"/>
    <s v="Zumba"/>
    <m/>
    <d v="1899-12-30T09:36:00"/>
    <d v="1899-12-30T12:09:00"/>
    <x v="117"/>
    <b v="1"/>
    <s v="lemon, berry_boost"/>
    <s v="lemon"/>
    <s v="berry_boost"/>
    <x v="1"/>
    <x v="1"/>
    <x v="0"/>
  </r>
  <r>
    <n v="321"/>
    <x v="1"/>
    <x v="316"/>
    <x v="9"/>
    <n v="26"/>
    <x v="0"/>
    <x v="1"/>
    <s v="Sat, Thu, Tue"/>
    <s v="Sat"/>
    <s v="Thu"/>
    <s v="Tue"/>
    <m/>
    <m/>
    <b v="0"/>
    <s v=""/>
    <m/>
    <m/>
    <m/>
    <d v="1899-12-30T14:11:00"/>
    <d v="1899-12-30T15:11:00"/>
    <x v="127"/>
    <b v="1"/>
    <s v="passion_fruit, coconut_pineapple"/>
    <s v="passion_fruit"/>
    <s v="coconut_pineapple"/>
    <x v="0"/>
    <x v="0"/>
    <x v="1"/>
  </r>
  <r>
    <n v="322"/>
    <x v="1"/>
    <x v="317"/>
    <x v="30"/>
    <n v="23"/>
    <x v="1"/>
    <x v="3"/>
    <s v="Fri, Sat"/>
    <s v="Fri"/>
    <s v="Sat"/>
    <m/>
    <m/>
    <m/>
    <b v="0"/>
    <s v=""/>
    <m/>
    <m/>
    <m/>
    <d v="1899-12-30T20:18:00"/>
    <d v="1899-12-30T20:55:00"/>
    <x v="91"/>
    <b v="0"/>
    <s v=""/>
    <m/>
    <m/>
    <x v="1"/>
    <x v="1"/>
    <x v="1"/>
  </r>
  <r>
    <n v="323"/>
    <x v="1"/>
    <x v="318"/>
    <x v="9"/>
    <n v="26"/>
    <x v="0"/>
    <x v="4"/>
    <s v="Mon, Sat, Sun, Thu, Wed"/>
    <s v="Mon"/>
    <s v="Sat"/>
    <s v="Sun"/>
    <s v="Thu"/>
    <s v="Wed"/>
    <b v="1"/>
    <s v="Running"/>
    <s v="Running"/>
    <m/>
    <m/>
    <d v="1899-12-30T17:11:00"/>
    <d v="1899-12-30T18:02:00"/>
    <x v="123"/>
    <b v="0"/>
    <s v=""/>
    <m/>
    <m/>
    <x v="1"/>
    <x v="1"/>
    <x v="0"/>
  </r>
  <r>
    <n v="324"/>
    <x v="0"/>
    <x v="319"/>
    <x v="6"/>
    <n v="30"/>
    <x v="1"/>
    <x v="1"/>
    <s v="Fri, Thu, Wed"/>
    <s v="Fri"/>
    <s v="Thu"/>
    <s v="Wed"/>
    <m/>
    <m/>
    <b v="1"/>
    <s v="Pilates"/>
    <s v="Pilates"/>
    <m/>
    <m/>
    <d v="1899-12-30T19:16:00"/>
    <d v="1899-12-30T20:15:00"/>
    <x v="112"/>
    <b v="0"/>
    <s v=""/>
    <m/>
    <m/>
    <x v="1"/>
    <x v="1"/>
    <x v="0"/>
  </r>
  <r>
    <n v="325"/>
    <x v="1"/>
    <x v="320"/>
    <x v="25"/>
    <n v="29"/>
    <x v="1"/>
    <x v="1"/>
    <s v="Fri, Sat, Wed"/>
    <s v="Fri"/>
    <s v="Sat"/>
    <s v="Wed"/>
    <m/>
    <m/>
    <b v="0"/>
    <s v=""/>
    <m/>
    <m/>
    <m/>
    <d v="1899-12-30T10:34:00"/>
    <d v="1899-12-30T11:13:00"/>
    <x v="115"/>
    <b v="0"/>
    <s v=""/>
    <m/>
    <m/>
    <x v="0"/>
    <x v="0"/>
    <x v="0"/>
  </r>
  <r>
    <n v="326"/>
    <x v="0"/>
    <x v="321"/>
    <x v="21"/>
    <n v="47"/>
    <x v="1"/>
    <x v="1"/>
    <s v="Mon, Sun, Tue"/>
    <s v="Mon"/>
    <s v="Sun"/>
    <s v="Tue"/>
    <m/>
    <m/>
    <b v="0"/>
    <s v=""/>
    <m/>
    <m/>
    <m/>
    <d v="1899-12-30T18:24:00"/>
    <d v="1899-12-30T19:13:00"/>
    <x v="64"/>
    <b v="1"/>
    <s v="coconut_pineapple, lemon"/>
    <s v="coconut_pineapple"/>
    <s v="lemon"/>
    <x v="0"/>
    <x v="0"/>
    <x v="1"/>
  </r>
  <r>
    <n v="327"/>
    <x v="0"/>
    <x v="322"/>
    <x v="35"/>
    <n v="13"/>
    <x v="1"/>
    <x v="1"/>
    <s v="Mon, Sun, Thu"/>
    <s v="Mon"/>
    <s v="Sun"/>
    <s v="Thu"/>
    <m/>
    <m/>
    <b v="0"/>
    <s v=""/>
    <m/>
    <m/>
    <m/>
    <d v="1899-12-30T14:01:00"/>
    <d v="1899-12-30T16:23:00"/>
    <x v="36"/>
    <b v="1"/>
    <s v="passion_fruit"/>
    <s v="passion_fruit"/>
    <m/>
    <x v="0"/>
    <x v="0"/>
    <x v="0"/>
  </r>
  <r>
    <n v="328"/>
    <x v="0"/>
    <x v="323"/>
    <x v="19"/>
    <n v="22"/>
    <x v="1"/>
    <x v="4"/>
    <s v="Fri, Mon, Sun, Tue, Wed"/>
    <s v="Fri"/>
    <s v="Mon"/>
    <s v="Sun"/>
    <s v="Tue"/>
    <s v="Wed"/>
    <b v="0"/>
    <s v=""/>
    <m/>
    <m/>
    <m/>
    <d v="1899-12-30T13:52:00"/>
    <d v="1899-12-30T14:43:00"/>
    <x v="123"/>
    <b v="0"/>
    <s v=""/>
    <m/>
    <m/>
    <x v="0"/>
    <x v="0"/>
    <x v="0"/>
  </r>
  <r>
    <n v="329"/>
    <x v="1"/>
    <x v="324"/>
    <x v="32"/>
    <n v="33"/>
    <x v="0"/>
    <x v="0"/>
    <s v="Fri, Sat, Sun, Tue"/>
    <s v="Fri"/>
    <s v="Sat"/>
    <s v="Sun"/>
    <s v="Tue"/>
    <m/>
    <b v="1"/>
    <s v="Running"/>
    <s v="Running"/>
    <m/>
    <m/>
    <d v="1899-12-30T09:15:00"/>
    <d v="1899-12-30T10:04:00"/>
    <x v="64"/>
    <b v="0"/>
    <s v=""/>
    <m/>
    <m/>
    <x v="0"/>
    <x v="0"/>
    <x v="0"/>
  </r>
  <r>
    <n v="330"/>
    <x v="0"/>
    <x v="325"/>
    <x v="0"/>
    <n v="27"/>
    <x v="1"/>
    <x v="3"/>
    <s v="Sat, Thu"/>
    <s v="Sat"/>
    <s v="Thu"/>
    <m/>
    <m/>
    <m/>
    <b v="0"/>
    <s v=""/>
    <m/>
    <m/>
    <m/>
    <d v="1899-12-30T11:43:00"/>
    <d v="1899-12-30T14:26:00"/>
    <x v="61"/>
    <b v="1"/>
    <s v="passion_fruit"/>
    <s v="passion_fruit"/>
    <m/>
    <x v="0"/>
    <x v="0"/>
    <x v="0"/>
  </r>
  <r>
    <n v="331"/>
    <x v="0"/>
    <x v="326"/>
    <x v="10"/>
    <n v="35"/>
    <x v="0"/>
    <x v="3"/>
    <s v="Mon, Wed"/>
    <s v="Mon"/>
    <s v="Wed"/>
    <m/>
    <m/>
    <m/>
    <b v="1"/>
    <s v="Kickboxen, LesMiles"/>
    <s v="Kickboxen"/>
    <s v="LesMiles"/>
    <m/>
    <d v="1899-12-30T16:36:00"/>
    <d v="1899-12-30T17:42:00"/>
    <x v="66"/>
    <b v="1"/>
    <s v="passion_fruit"/>
    <s v="passion_fruit"/>
    <m/>
    <x v="0"/>
    <x v="0"/>
    <x v="1"/>
  </r>
  <r>
    <n v="332"/>
    <x v="0"/>
    <x v="327"/>
    <x v="19"/>
    <n v="21"/>
    <x v="0"/>
    <x v="1"/>
    <s v="Fri, Sat, Wed"/>
    <s v="Fri"/>
    <s v="Sat"/>
    <s v="Wed"/>
    <m/>
    <m/>
    <b v="1"/>
    <s v="XCore"/>
    <s v="XCore"/>
    <m/>
    <m/>
    <d v="1899-12-30T20:22:00"/>
    <d v="1899-12-30T21:59:00"/>
    <x v="124"/>
    <b v="1"/>
    <s v="passion_fruit"/>
    <s v="passion_fruit"/>
    <m/>
    <x v="0"/>
    <x v="0"/>
    <x v="0"/>
  </r>
  <r>
    <n v="333"/>
    <x v="1"/>
    <x v="328"/>
    <x v="22"/>
    <n v="40"/>
    <x v="0"/>
    <x v="1"/>
    <s v="Fri, Sun, Tue"/>
    <s v="Fri"/>
    <s v="Sun"/>
    <s v="Tue"/>
    <m/>
    <m/>
    <b v="0"/>
    <s v=""/>
    <m/>
    <m/>
    <m/>
    <d v="1899-12-30T11:18:00"/>
    <d v="1899-12-30T14:09:00"/>
    <x v="132"/>
    <b v="0"/>
    <s v=""/>
    <m/>
    <m/>
    <x v="1"/>
    <x v="4"/>
    <x v="0"/>
  </r>
  <r>
    <n v="334"/>
    <x v="1"/>
    <x v="329"/>
    <x v="5"/>
    <n v="15"/>
    <x v="1"/>
    <x v="1"/>
    <s v="Mon, Sat, Sun"/>
    <s v="Mon"/>
    <s v="Sat"/>
    <s v="Sun"/>
    <m/>
    <m/>
    <b v="0"/>
    <s v=""/>
    <m/>
    <m/>
    <m/>
    <d v="1899-12-30T17:29:00"/>
    <d v="1899-12-30T18:03:00"/>
    <x v="107"/>
    <b v="0"/>
    <s v=""/>
    <m/>
    <m/>
    <x v="0"/>
    <x v="0"/>
    <x v="0"/>
  </r>
  <r>
    <n v="335"/>
    <x v="0"/>
    <x v="330"/>
    <x v="30"/>
    <n v="23"/>
    <x v="0"/>
    <x v="1"/>
    <s v="Mon, Sat, Sun"/>
    <s v="Mon"/>
    <s v="Sat"/>
    <s v="Sun"/>
    <m/>
    <m/>
    <b v="0"/>
    <s v=""/>
    <m/>
    <m/>
    <m/>
    <d v="1899-12-30T13:42:00"/>
    <d v="1899-12-30T14:33:00"/>
    <x v="123"/>
    <b v="0"/>
    <s v=""/>
    <m/>
    <m/>
    <x v="0"/>
    <x v="0"/>
    <x v="0"/>
  </r>
  <r>
    <n v="336"/>
    <x v="0"/>
    <x v="331"/>
    <x v="36"/>
    <n v="49"/>
    <x v="1"/>
    <x v="2"/>
    <s v="Wed"/>
    <s v="Wed"/>
    <m/>
    <m/>
    <m/>
    <m/>
    <b v="1"/>
    <s v="Running, Zumba, LesMiles"/>
    <s v="Running"/>
    <s v="Zumba"/>
    <s v="LesMiles"/>
    <d v="1899-12-30T10:40:00"/>
    <d v="1899-12-30T11:24:00"/>
    <x v="122"/>
    <b v="0"/>
    <s v=""/>
    <m/>
    <m/>
    <x v="1"/>
    <x v="1"/>
    <x v="1"/>
  </r>
  <r>
    <n v="337"/>
    <x v="1"/>
    <x v="332"/>
    <x v="20"/>
    <n v="42"/>
    <x v="0"/>
    <x v="3"/>
    <s v="Fri, Mon"/>
    <s v="Fri"/>
    <s v="Mon"/>
    <m/>
    <m/>
    <m/>
    <b v="0"/>
    <s v=""/>
    <m/>
    <m/>
    <m/>
    <d v="1899-12-30T18:22:00"/>
    <d v="1899-12-30T20:18:00"/>
    <x v="0"/>
    <b v="1"/>
    <s v="orange, black_currant"/>
    <s v="orange"/>
    <s v="black_currant"/>
    <x v="1"/>
    <x v="1"/>
    <x v="1"/>
  </r>
  <r>
    <n v="338"/>
    <x v="1"/>
    <x v="333"/>
    <x v="9"/>
    <n v="27"/>
    <x v="0"/>
    <x v="1"/>
    <s v="Mon, Thu, Wed"/>
    <s v="Mon"/>
    <s v="Thu"/>
    <s v="Wed"/>
    <m/>
    <m/>
    <b v="1"/>
    <s v="Zumba, HIT"/>
    <s v="Zumba"/>
    <s v="HIT"/>
    <m/>
    <d v="1899-12-30T10:06:00"/>
    <d v="1899-12-30T11:38:00"/>
    <x v="8"/>
    <b v="1"/>
    <s v="coconut_pineapple, passion_fruit"/>
    <s v="coconut_pineapple"/>
    <s v="passion_fruit"/>
    <x v="0"/>
    <x v="0"/>
    <x v="1"/>
  </r>
  <r>
    <n v="339"/>
    <x v="0"/>
    <x v="334"/>
    <x v="22"/>
    <n v="41"/>
    <x v="1"/>
    <x v="1"/>
    <s v="Sun, Thu, Wed"/>
    <s v="Sun"/>
    <s v="Thu"/>
    <s v="Wed"/>
    <m/>
    <m/>
    <b v="1"/>
    <s v="XCore, Pilates, HIT"/>
    <s v="XCore"/>
    <s v="Pilates"/>
    <s v="HIT"/>
    <d v="1899-12-30T15:40:00"/>
    <d v="1899-12-30T17:21:00"/>
    <x v="133"/>
    <b v="1"/>
    <s v="passion_fruit, orange"/>
    <s v="passion_fruit"/>
    <s v="orange"/>
    <x v="1"/>
    <x v="1"/>
    <x v="1"/>
  </r>
  <r>
    <n v="340"/>
    <x v="1"/>
    <x v="335"/>
    <x v="29"/>
    <n v="22"/>
    <x v="0"/>
    <x v="1"/>
    <s v="Sat, Thu, Tue"/>
    <s v="Sat"/>
    <s v="Thu"/>
    <s v="Tue"/>
    <m/>
    <m/>
    <b v="1"/>
    <s v="HIT, Kickboxen, Zumba"/>
    <s v="HIT"/>
    <s v="Kickboxen"/>
    <s v="Zumba"/>
    <d v="1899-12-30T18:51:00"/>
    <d v="1899-12-30T21:17:00"/>
    <x v="19"/>
    <b v="0"/>
    <s v=""/>
    <m/>
    <m/>
    <x v="1"/>
    <x v="3"/>
    <x v="1"/>
  </r>
  <r>
    <n v="341"/>
    <x v="0"/>
    <x v="336"/>
    <x v="12"/>
    <n v="36"/>
    <x v="1"/>
    <x v="0"/>
    <s v="Fri, Mon, Thu, Wed"/>
    <s v="Fri"/>
    <s v="Mon"/>
    <s v="Thu"/>
    <s v="Wed"/>
    <m/>
    <b v="0"/>
    <s v=""/>
    <m/>
    <m/>
    <m/>
    <d v="1899-12-30T14:02:00"/>
    <d v="1899-12-30T16:28:00"/>
    <x v="19"/>
    <b v="0"/>
    <s v=""/>
    <m/>
    <m/>
    <x v="0"/>
    <x v="0"/>
    <x v="0"/>
  </r>
  <r>
    <n v="342"/>
    <x v="1"/>
    <x v="337"/>
    <x v="9"/>
    <n v="26"/>
    <x v="1"/>
    <x v="4"/>
    <s v="Fri, Sat, Sun, Tue, Wed"/>
    <s v="Fri"/>
    <s v="Sat"/>
    <s v="Sun"/>
    <s v="Tue"/>
    <s v="Wed"/>
    <b v="1"/>
    <s v="HIT"/>
    <s v="HIT"/>
    <m/>
    <m/>
    <d v="1899-12-30T17:57:00"/>
    <d v="1899-12-30T19:05:00"/>
    <x v="48"/>
    <b v="1"/>
    <s v="coconut_pineapple"/>
    <s v="coconut_pineapple"/>
    <m/>
    <x v="1"/>
    <x v="3"/>
    <x v="0"/>
  </r>
  <r>
    <n v="343"/>
    <x v="0"/>
    <x v="338"/>
    <x v="23"/>
    <n v="19"/>
    <x v="0"/>
    <x v="4"/>
    <s v="Fri, Sat, Thu, Tue, Wed"/>
    <s v="Fri"/>
    <s v="Sat"/>
    <s v="Thu"/>
    <s v="Tue"/>
    <s v="Wed"/>
    <b v="1"/>
    <s v="Running, HIT, Kickboxen"/>
    <s v="Running"/>
    <s v="HIT"/>
    <s v="Kickboxen"/>
    <d v="1899-12-30T09:53:00"/>
    <d v="1899-12-30T12:49:00"/>
    <x v="100"/>
    <b v="0"/>
    <s v=""/>
    <m/>
    <m/>
    <x v="1"/>
    <x v="2"/>
    <x v="0"/>
  </r>
  <r>
    <n v="344"/>
    <x v="0"/>
    <x v="339"/>
    <x v="13"/>
    <n v="38"/>
    <x v="1"/>
    <x v="0"/>
    <s v="Fri, Mon, Sun, Thu"/>
    <s v="Fri"/>
    <s v="Mon"/>
    <s v="Sun"/>
    <s v="Thu"/>
    <m/>
    <b v="1"/>
    <s v="HIT"/>
    <s v="HIT"/>
    <m/>
    <m/>
    <d v="1899-12-30T12:50:00"/>
    <d v="1899-12-30T14:19:00"/>
    <x v="118"/>
    <b v="0"/>
    <s v=""/>
    <m/>
    <m/>
    <x v="0"/>
    <x v="0"/>
    <x v="0"/>
  </r>
  <r>
    <n v="345"/>
    <x v="1"/>
    <x v="340"/>
    <x v="33"/>
    <n v="39"/>
    <x v="1"/>
    <x v="3"/>
    <s v="Mon, Sat"/>
    <s v="Mon"/>
    <s v="Sat"/>
    <m/>
    <m/>
    <m/>
    <b v="0"/>
    <s v=""/>
    <m/>
    <m/>
    <m/>
    <d v="1899-12-30T14:30:00"/>
    <d v="1899-12-30T16:14:00"/>
    <x v="79"/>
    <b v="0"/>
    <s v=""/>
    <m/>
    <m/>
    <x v="1"/>
    <x v="2"/>
    <x v="1"/>
  </r>
  <r>
    <n v="346"/>
    <x v="0"/>
    <x v="341"/>
    <x v="4"/>
    <n v="43"/>
    <x v="0"/>
    <x v="1"/>
    <s v="Mon, Sat, Thu"/>
    <s v="Mon"/>
    <s v="Sat"/>
    <s v="Thu"/>
    <m/>
    <m/>
    <b v="1"/>
    <s v="Kickboxen, LesMiles"/>
    <s v="Kickboxen"/>
    <s v="LesMiles"/>
    <m/>
    <d v="1899-12-30T12:17:00"/>
    <d v="1899-12-30T15:09:00"/>
    <x v="72"/>
    <b v="0"/>
    <s v=""/>
    <m/>
    <m/>
    <x v="0"/>
    <x v="0"/>
    <x v="1"/>
  </r>
  <r>
    <n v="347"/>
    <x v="0"/>
    <x v="342"/>
    <x v="15"/>
    <n v="39"/>
    <x v="1"/>
    <x v="1"/>
    <s v="Mon, Tue, Wed"/>
    <s v="Mon"/>
    <s v="Tue"/>
    <s v="Wed"/>
    <m/>
    <m/>
    <b v="0"/>
    <s v=""/>
    <m/>
    <m/>
    <m/>
    <d v="1899-12-30T16:51:00"/>
    <d v="1899-12-30T18:36:00"/>
    <x v="94"/>
    <b v="0"/>
    <s v=""/>
    <m/>
    <m/>
    <x v="0"/>
    <x v="0"/>
    <x v="0"/>
  </r>
  <r>
    <n v="348"/>
    <x v="1"/>
    <x v="343"/>
    <x v="19"/>
    <n v="21"/>
    <x v="1"/>
    <x v="1"/>
    <s v="Sat, Sun, Tue"/>
    <s v="Sat"/>
    <s v="Sun"/>
    <s v="Tue"/>
    <m/>
    <m/>
    <b v="0"/>
    <s v=""/>
    <m/>
    <m/>
    <m/>
    <d v="1899-12-30T12:59:00"/>
    <d v="1899-12-30T13:48:00"/>
    <x v="64"/>
    <b v="1"/>
    <s v="orange, berry_boost"/>
    <s v="orange"/>
    <s v="berry_boost"/>
    <x v="0"/>
    <x v="0"/>
    <x v="1"/>
  </r>
  <r>
    <n v="349"/>
    <x v="0"/>
    <x v="344"/>
    <x v="33"/>
    <n v="39"/>
    <x v="1"/>
    <x v="3"/>
    <s v="Sun, Thu"/>
    <s v="Sun"/>
    <s v="Thu"/>
    <m/>
    <m/>
    <m/>
    <b v="0"/>
    <s v=""/>
    <m/>
    <m/>
    <m/>
    <d v="1899-12-30T12:53:00"/>
    <d v="1899-12-30T14:54:00"/>
    <x v="134"/>
    <b v="0"/>
    <s v=""/>
    <m/>
    <m/>
    <x v="1"/>
    <x v="3"/>
    <x v="1"/>
  </r>
  <r>
    <n v="350"/>
    <x v="0"/>
    <x v="345"/>
    <x v="10"/>
    <n v="35"/>
    <x v="1"/>
    <x v="3"/>
    <s v="Fri, Mon"/>
    <s v="Fri"/>
    <s v="Mon"/>
    <m/>
    <m/>
    <m/>
    <b v="1"/>
    <s v="Pilates, XCore"/>
    <s v="Pilates"/>
    <s v="XCore"/>
    <m/>
    <d v="1899-12-30T16:20:00"/>
    <d v="1899-12-30T17:21:00"/>
    <x v="13"/>
    <b v="1"/>
    <s v="passion_fruit"/>
    <s v="passion_fruit"/>
    <m/>
    <x v="1"/>
    <x v="3"/>
    <x v="1"/>
  </r>
  <r>
    <n v="351"/>
    <x v="1"/>
    <x v="346"/>
    <x v="10"/>
    <n v="35"/>
    <x v="1"/>
    <x v="2"/>
    <s v="Fri"/>
    <s v="Fri"/>
    <m/>
    <m/>
    <m/>
    <m/>
    <b v="1"/>
    <s v="BodyBalance, LesMiles"/>
    <s v="BodyBalance"/>
    <s v="LesMiles"/>
    <m/>
    <d v="1899-12-30T19:27:00"/>
    <d v="1899-12-30T22:03:00"/>
    <x v="78"/>
    <b v="0"/>
    <s v=""/>
    <m/>
    <m/>
    <x v="0"/>
    <x v="0"/>
    <x v="1"/>
  </r>
  <r>
    <n v="352"/>
    <x v="0"/>
    <x v="347"/>
    <x v="34"/>
    <n v="31"/>
    <x v="1"/>
    <x v="2"/>
    <s v="Wed"/>
    <s v="Wed"/>
    <m/>
    <m/>
    <m/>
    <m/>
    <b v="1"/>
    <s v="Spinning, Running"/>
    <s v="Spinning"/>
    <s v="Running"/>
    <m/>
    <d v="1899-12-30T09:42:00"/>
    <d v="1899-12-30T12:25:00"/>
    <x v="61"/>
    <b v="0"/>
    <s v=""/>
    <m/>
    <m/>
    <x v="0"/>
    <x v="0"/>
    <x v="1"/>
  </r>
  <r>
    <n v="353"/>
    <x v="0"/>
    <x v="348"/>
    <x v="5"/>
    <n v="15"/>
    <x v="0"/>
    <x v="3"/>
    <s v="Fri, Mon"/>
    <s v="Fri"/>
    <s v="Mon"/>
    <m/>
    <m/>
    <m/>
    <b v="0"/>
    <s v=""/>
    <m/>
    <m/>
    <m/>
    <d v="1899-12-30T13:37:00"/>
    <d v="1899-12-30T14:50:00"/>
    <x v="86"/>
    <b v="1"/>
    <s v="berry_boost"/>
    <s v="berry_boost"/>
    <m/>
    <x v="1"/>
    <x v="2"/>
    <x v="0"/>
  </r>
  <r>
    <n v="354"/>
    <x v="0"/>
    <x v="349"/>
    <x v="3"/>
    <n v="44"/>
    <x v="0"/>
    <x v="3"/>
    <s v="Fri, Mon"/>
    <s v="Fri"/>
    <s v="Mon"/>
    <m/>
    <m/>
    <m/>
    <b v="1"/>
    <s v="BodyBalance"/>
    <s v="BodyBalance"/>
    <m/>
    <m/>
    <d v="1899-12-30T17:13:00"/>
    <d v="1899-12-30T18:15:00"/>
    <x v="6"/>
    <b v="0"/>
    <s v=""/>
    <m/>
    <m/>
    <x v="0"/>
    <x v="0"/>
    <x v="0"/>
  </r>
  <r>
    <n v="355"/>
    <x v="1"/>
    <x v="350"/>
    <x v="13"/>
    <n v="37"/>
    <x v="1"/>
    <x v="2"/>
    <s v="Mon"/>
    <s v="Mon"/>
    <m/>
    <m/>
    <m/>
    <m/>
    <b v="1"/>
    <s v="BodyBalance, Running"/>
    <s v="BodyBalance"/>
    <s v="Running"/>
    <m/>
    <d v="1899-12-30T16:45:00"/>
    <d v="1899-12-30T18:58:00"/>
    <x v="108"/>
    <b v="0"/>
    <s v=""/>
    <m/>
    <m/>
    <x v="0"/>
    <x v="0"/>
    <x v="1"/>
  </r>
  <r>
    <n v="356"/>
    <x v="1"/>
    <x v="351"/>
    <x v="16"/>
    <n v="32"/>
    <x v="1"/>
    <x v="2"/>
    <s v="Sat"/>
    <s v="Sat"/>
    <m/>
    <m/>
    <m/>
    <m/>
    <b v="1"/>
    <s v="Pilates, XCore"/>
    <s v="Pilates"/>
    <s v="XCore"/>
    <m/>
    <d v="1899-12-30T18:44:00"/>
    <d v="1899-12-30T19:28:00"/>
    <x v="122"/>
    <b v="0"/>
    <s v=""/>
    <m/>
    <m/>
    <x v="0"/>
    <x v="0"/>
    <x v="0"/>
  </r>
  <r>
    <n v="357"/>
    <x v="0"/>
    <x v="352"/>
    <x v="24"/>
    <n v="17"/>
    <x v="1"/>
    <x v="3"/>
    <s v="Fri, Sun"/>
    <s v="Fri"/>
    <s v="Sun"/>
    <m/>
    <m/>
    <m/>
    <b v="1"/>
    <s v="LesMiles"/>
    <s v="LesMiles"/>
    <m/>
    <m/>
    <d v="1899-12-30T20:55:00"/>
    <d v="1899-12-30T22:18:00"/>
    <x v="88"/>
    <b v="1"/>
    <s v="lemon, orange"/>
    <s v="lemon"/>
    <s v="orange"/>
    <x v="0"/>
    <x v="0"/>
    <x v="1"/>
  </r>
  <r>
    <n v="358"/>
    <x v="0"/>
    <x v="353"/>
    <x v="13"/>
    <n v="37"/>
    <x v="1"/>
    <x v="2"/>
    <s v="Tue"/>
    <s v="Tue"/>
    <m/>
    <m/>
    <m/>
    <m/>
    <b v="1"/>
    <s v="XCore"/>
    <s v="XCore"/>
    <m/>
    <m/>
    <d v="1899-12-30T18:06:00"/>
    <d v="1899-12-30T19:59:00"/>
    <x v="135"/>
    <b v="0"/>
    <s v=""/>
    <m/>
    <m/>
    <x v="0"/>
    <x v="0"/>
    <x v="1"/>
  </r>
  <r>
    <n v="359"/>
    <x v="0"/>
    <x v="354"/>
    <x v="38"/>
    <n v="25"/>
    <x v="1"/>
    <x v="1"/>
    <s v="Fri, Sun, Tue"/>
    <s v="Fri"/>
    <s v="Sun"/>
    <s v="Tue"/>
    <m/>
    <m/>
    <b v="0"/>
    <s v=""/>
    <m/>
    <m/>
    <m/>
    <d v="1899-12-30T15:21:00"/>
    <d v="1899-12-30T16:26:00"/>
    <x v="93"/>
    <b v="0"/>
    <s v=""/>
    <m/>
    <m/>
    <x v="1"/>
    <x v="4"/>
    <x v="1"/>
  </r>
  <r>
    <n v="360"/>
    <x v="0"/>
    <x v="355"/>
    <x v="16"/>
    <n v="32"/>
    <x v="1"/>
    <x v="3"/>
    <s v="Sat, Wed"/>
    <s v="Sat"/>
    <s v="Wed"/>
    <m/>
    <m/>
    <m/>
    <b v="1"/>
    <s v="LesMiles, BodyPump, Kickboxen"/>
    <s v="LesMiles"/>
    <s v="BodyPump"/>
    <s v="Kickboxen"/>
    <d v="1899-12-30T17:04:00"/>
    <d v="1899-12-30T19:46:00"/>
    <x v="44"/>
    <b v="0"/>
    <s v=""/>
    <m/>
    <m/>
    <x v="1"/>
    <x v="3"/>
    <x v="1"/>
  </r>
  <r>
    <n v="361"/>
    <x v="0"/>
    <x v="356"/>
    <x v="3"/>
    <n v="44"/>
    <x v="1"/>
    <x v="4"/>
    <s v="Fri, Sun, Thu, Tue, Wed"/>
    <s v="Fri"/>
    <s v="Sun"/>
    <s v="Thu"/>
    <s v="Tue"/>
    <s v="Wed"/>
    <b v="1"/>
    <s v="Running"/>
    <s v="Running"/>
    <m/>
    <m/>
    <d v="1899-12-30T20:04:00"/>
    <d v="1899-12-30T22:29:00"/>
    <x v="14"/>
    <b v="0"/>
    <s v=""/>
    <m/>
    <m/>
    <x v="1"/>
    <x v="2"/>
    <x v="0"/>
  </r>
  <r>
    <n v="362"/>
    <x v="0"/>
    <x v="357"/>
    <x v="13"/>
    <n v="37"/>
    <x v="0"/>
    <x v="0"/>
    <s v="Fri, Mon, Thu, Tue"/>
    <s v="Fri"/>
    <s v="Mon"/>
    <s v="Thu"/>
    <s v="Tue"/>
    <m/>
    <b v="1"/>
    <s v="Pilates, Zumba, Kickboxen"/>
    <s v="Pilates"/>
    <s v="Zumba"/>
    <s v="Kickboxen"/>
    <d v="1899-12-30T11:51:00"/>
    <d v="1899-12-30T13:57:00"/>
    <x v="70"/>
    <b v="1"/>
    <s v="passion_fruit, lemon"/>
    <s v="passion_fruit"/>
    <s v="lemon"/>
    <x v="0"/>
    <x v="0"/>
    <x v="1"/>
  </r>
  <r>
    <n v="363"/>
    <x v="1"/>
    <x v="358"/>
    <x v="31"/>
    <n v="17"/>
    <x v="1"/>
    <x v="2"/>
    <s v="Tue"/>
    <s v="Tue"/>
    <m/>
    <m/>
    <m/>
    <m/>
    <b v="1"/>
    <s v="Running, Zumba"/>
    <s v="Running"/>
    <s v="Zumba"/>
    <m/>
    <d v="1899-12-30T12:17:00"/>
    <d v="1899-12-30T15:14:00"/>
    <x v="56"/>
    <b v="1"/>
    <s v="lemon, berry_boost"/>
    <s v="lemon"/>
    <s v="berry_boost"/>
    <x v="1"/>
    <x v="1"/>
    <x v="1"/>
  </r>
  <r>
    <n v="364"/>
    <x v="0"/>
    <x v="359"/>
    <x v="11"/>
    <n v="34"/>
    <x v="1"/>
    <x v="1"/>
    <s v="Sat, Thu, Wed"/>
    <s v="Sat"/>
    <s v="Thu"/>
    <s v="Wed"/>
    <m/>
    <m/>
    <b v="1"/>
    <s v="Spinning, BodyBalance, Yoga"/>
    <s v="Spinning"/>
    <s v="BodyBalance"/>
    <s v="Yoga"/>
    <d v="1899-12-30T10:47:00"/>
    <d v="1899-12-30T12:03:00"/>
    <x v="128"/>
    <b v="0"/>
    <s v=""/>
    <m/>
    <m/>
    <x v="1"/>
    <x v="1"/>
    <x v="0"/>
  </r>
  <r>
    <n v="365"/>
    <x v="0"/>
    <x v="360"/>
    <x v="7"/>
    <n v="21"/>
    <x v="0"/>
    <x v="3"/>
    <s v="Mon, Wed"/>
    <s v="Mon"/>
    <s v="Wed"/>
    <m/>
    <m/>
    <m/>
    <b v="1"/>
    <s v="Kickboxen, HIT, Spinning"/>
    <s v="Kickboxen"/>
    <s v="HIT"/>
    <s v="Spinning"/>
    <d v="1899-12-30T18:40:00"/>
    <d v="1899-12-30T21:21:00"/>
    <x v="15"/>
    <b v="1"/>
    <s v="passion_fruit"/>
    <s v="passion_fruit"/>
    <m/>
    <x v="1"/>
    <x v="4"/>
    <x v="0"/>
  </r>
  <r>
    <n v="366"/>
    <x v="1"/>
    <x v="361"/>
    <x v="3"/>
    <n v="44"/>
    <x v="1"/>
    <x v="1"/>
    <s v="Fri, Mon, Tue"/>
    <s v="Fri"/>
    <s v="Mon"/>
    <s v="Tue"/>
    <m/>
    <m/>
    <b v="0"/>
    <s v=""/>
    <m/>
    <m/>
    <m/>
    <d v="1899-12-30T10:31:00"/>
    <d v="1899-12-30T12:28:00"/>
    <x v="73"/>
    <b v="1"/>
    <s v="coconut_pineapple"/>
    <s v="coconut_pineapple"/>
    <m/>
    <x v="1"/>
    <x v="1"/>
    <x v="1"/>
  </r>
  <r>
    <n v="367"/>
    <x v="0"/>
    <x v="362"/>
    <x v="26"/>
    <n v="28"/>
    <x v="1"/>
    <x v="3"/>
    <s v="Thu, Tue"/>
    <s v="Thu"/>
    <s v="Tue"/>
    <m/>
    <m/>
    <m/>
    <b v="1"/>
    <s v="XCore, Yoga"/>
    <s v="XCore"/>
    <s v="Yoga"/>
    <m/>
    <d v="1899-12-30T20:22:00"/>
    <d v="1899-12-30T22:56:00"/>
    <x v="20"/>
    <b v="1"/>
    <s v="lemon, black_currant"/>
    <s v="lemon"/>
    <s v="black_currant"/>
    <x v="0"/>
    <x v="0"/>
    <x v="1"/>
  </r>
  <r>
    <n v="368"/>
    <x v="1"/>
    <x v="363"/>
    <x v="30"/>
    <n v="23"/>
    <x v="0"/>
    <x v="2"/>
    <s v="Sun"/>
    <s v="Sun"/>
    <m/>
    <m/>
    <m/>
    <m/>
    <b v="1"/>
    <s v="BodyBalance"/>
    <s v="BodyBalance"/>
    <m/>
    <m/>
    <d v="1899-12-30T20:41:00"/>
    <d v="1899-12-30T23:00:00"/>
    <x v="136"/>
    <b v="0"/>
    <s v=""/>
    <m/>
    <m/>
    <x v="1"/>
    <x v="1"/>
    <x v="1"/>
  </r>
  <r>
    <n v="369"/>
    <x v="1"/>
    <x v="364"/>
    <x v="25"/>
    <n v="29"/>
    <x v="0"/>
    <x v="2"/>
    <s v="Mon"/>
    <s v="Mon"/>
    <m/>
    <m/>
    <m/>
    <m/>
    <b v="1"/>
    <s v="HIT"/>
    <s v="HIT"/>
    <m/>
    <m/>
    <d v="1899-12-30T17:22:00"/>
    <d v="1899-12-30T18:42:00"/>
    <x v="137"/>
    <b v="1"/>
    <s v="black_currant"/>
    <s v="black_currant"/>
    <m/>
    <x v="1"/>
    <x v="3"/>
    <x v="0"/>
  </r>
  <r>
    <n v="370"/>
    <x v="0"/>
    <x v="365"/>
    <x v="26"/>
    <n v="28"/>
    <x v="0"/>
    <x v="2"/>
    <s v="Tue"/>
    <s v="Tue"/>
    <m/>
    <m/>
    <m/>
    <m/>
    <b v="1"/>
    <s v="Spinning, LesMiles, Yoga"/>
    <s v="Spinning"/>
    <s v="LesMiles"/>
    <s v="Yoga"/>
    <d v="1899-12-30T13:08:00"/>
    <d v="1899-12-30T14:35:00"/>
    <x v="38"/>
    <b v="1"/>
    <s v="black_currant"/>
    <s v="black_currant"/>
    <m/>
    <x v="1"/>
    <x v="4"/>
    <x v="0"/>
  </r>
  <r>
    <n v="371"/>
    <x v="1"/>
    <x v="366"/>
    <x v="19"/>
    <n v="21"/>
    <x v="0"/>
    <x v="3"/>
    <s v="Mon, Wed"/>
    <s v="Mon"/>
    <s v="Wed"/>
    <m/>
    <m/>
    <m/>
    <b v="0"/>
    <s v=""/>
    <m/>
    <m/>
    <m/>
    <d v="1899-12-30T20:10:00"/>
    <d v="1899-12-30T21:56:00"/>
    <x v="67"/>
    <b v="0"/>
    <s v=""/>
    <m/>
    <m/>
    <x v="0"/>
    <x v="0"/>
    <x v="0"/>
  </r>
  <r>
    <n v="372"/>
    <x v="0"/>
    <x v="367"/>
    <x v="28"/>
    <n v="46"/>
    <x v="0"/>
    <x v="4"/>
    <s v="Fri, Sun, Thu, Tue, Wed"/>
    <s v="Fri"/>
    <s v="Sun"/>
    <s v="Thu"/>
    <s v="Tue"/>
    <s v="Wed"/>
    <b v="1"/>
    <s v="Running, BodyPump"/>
    <s v="Running"/>
    <s v="BodyPump"/>
    <m/>
    <d v="1899-12-30T11:18:00"/>
    <d v="1899-12-30T14:06:00"/>
    <x v="104"/>
    <b v="1"/>
    <s v="coconut_pineapple, black_currant"/>
    <s v="coconut_pineapple"/>
    <s v="black_currant"/>
    <x v="1"/>
    <x v="3"/>
    <x v="0"/>
  </r>
  <r>
    <n v="373"/>
    <x v="0"/>
    <x v="368"/>
    <x v="32"/>
    <n v="33"/>
    <x v="0"/>
    <x v="3"/>
    <s v="Sat, Sun"/>
    <s v="Sat"/>
    <s v="Sun"/>
    <m/>
    <m/>
    <m/>
    <b v="1"/>
    <s v="BodyBalance, Pilates, LesMiles"/>
    <s v="BodyBalance"/>
    <s v="Pilates"/>
    <s v="LesMiles"/>
    <d v="1899-12-30T08:52:00"/>
    <d v="1899-12-30T11:07:00"/>
    <x v="33"/>
    <b v="0"/>
    <s v=""/>
    <m/>
    <m/>
    <x v="0"/>
    <x v="0"/>
    <x v="0"/>
  </r>
  <r>
    <n v="374"/>
    <x v="0"/>
    <x v="369"/>
    <x v="33"/>
    <n v="39"/>
    <x v="0"/>
    <x v="3"/>
    <s v="Sun, Tue"/>
    <s v="Sun"/>
    <s v="Tue"/>
    <m/>
    <m/>
    <m/>
    <b v="1"/>
    <s v="HIT, Pilates"/>
    <s v="HIT"/>
    <s v="Pilates"/>
    <m/>
    <d v="1899-12-30T17:43:00"/>
    <d v="1899-12-30T18:36:00"/>
    <x v="69"/>
    <b v="0"/>
    <s v=""/>
    <m/>
    <m/>
    <x v="1"/>
    <x v="1"/>
    <x v="0"/>
  </r>
  <r>
    <n v="375"/>
    <x v="1"/>
    <x v="370"/>
    <x v="38"/>
    <n v="25"/>
    <x v="0"/>
    <x v="3"/>
    <s v="Fri, Mon"/>
    <s v="Fri"/>
    <s v="Mon"/>
    <m/>
    <m/>
    <m/>
    <b v="0"/>
    <s v=""/>
    <m/>
    <m/>
    <m/>
    <d v="1899-12-30T16:54:00"/>
    <d v="1899-12-30T18:20:00"/>
    <x v="30"/>
    <b v="0"/>
    <s v=""/>
    <m/>
    <m/>
    <x v="1"/>
    <x v="2"/>
    <x v="1"/>
  </r>
  <r>
    <n v="376"/>
    <x v="0"/>
    <x v="371"/>
    <x v="25"/>
    <n v="29"/>
    <x v="0"/>
    <x v="1"/>
    <s v="Sat, Sun, Thu"/>
    <s v="Sat"/>
    <s v="Sun"/>
    <s v="Thu"/>
    <m/>
    <m/>
    <b v="1"/>
    <s v="BodyPump, LesMiles"/>
    <s v="BodyPump"/>
    <s v="LesMiles"/>
    <m/>
    <d v="1899-12-30T20:16:00"/>
    <d v="1899-12-30T23:04:00"/>
    <x v="104"/>
    <b v="1"/>
    <s v="berry_boost, orange"/>
    <s v="berry_boost"/>
    <s v="orange"/>
    <x v="0"/>
    <x v="0"/>
    <x v="1"/>
  </r>
  <r>
    <n v="377"/>
    <x v="1"/>
    <x v="372"/>
    <x v="32"/>
    <n v="34"/>
    <x v="0"/>
    <x v="1"/>
    <s v="Fri, Tue, Wed"/>
    <s v="Fri"/>
    <s v="Tue"/>
    <s v="Wed"/>
    <m/>
    <m/>
    <b v="0"/>
    <s v=""/>
    <m/>
    <m/>
    <m/>
    <d v="1899-12-30T14:36:00"/>
    <d v="1899-12-30T15:56:00"/>
    <x v="137"/>
    <b v="0"/>
    <s v=""/>
    <m/>
    <m/>
    <x v="1"/>
    <x v="2"/>
    <x v="1"/>
  </r>
  <r>
    <n v="378"/>
    <x v="1"/>
    <x v="373"/>
    <x v="22"/>
    <n v="40"/>
    <x v="0"/>
    <x v="3"/>
    <s v="Sat, Thu"/>
    <s v="Sat"/>
    <s v="Thu"/>
    <m/>
    <m/>
    <m/>
    <b v="1"/>
    <s v="Running"/>
    <s v="Running"/>
    <m/>
    <m/>
    <d v="1899-12-30T18:52:00"/>
    <d v="1899-12-30T19:42:00"/>
    <x v="4"/>
    <b v="1"/>
    <s v="lemon"/>
    <s v="lemon"/>
    <m/>
    <x v="0"/>
    <x v="0"/>
    <x v="0"/>
  </r>
  <r>
    <n v="379"/>
    <x v="0"/>
    <x v="374"/>
    <x v="17"/>
    <n v="14"/>
    <x v="0"/>
    <x v="1"/>
    <s v="Sun, Thu, Tue"/>
    <s v="Sun"/>
    <s v="Thu"/>
    <s v="Tue"/>
    <m/>
    <m/>
    <b v="0"/>
    <s v=""/>
    <m/>
    <m/>
    <m/>
    <d v="1899-12-30T08:29:00"/>
    <d v="1899-12-30T10:35:00"/>
    <x v="70"/>
    <b v="0"/>
    <s v=""/>
    <m/>
    <m/>
    <x v="0"/>
    <x v="0"/>
    <x v="1"/>
  </r>
  <r>
    <n v="380"/>
    <x v="1"/>
    <x v="375"/>
    <x v="4"/>
    <n v="43"/>
    <x v="1"/>
    <x v="2"/>
    <s v="Wed"/>
    <s v="Wed"/>
    <m/>
    <m/>
    <m/>
    <m/>
    <b v="0"/>
    <s v=""/>
    <m/>
    <m/>
    <m/>
    <d v="1899-12-30T19:38:00"/>
    <d v="1899-12-30T20:56:00"/>
    <x v="106"/>
    <b v="1"/>
    <s v="berry_boost"/>
    <s v="berry_boost"/>
    <m/>
    <x v="0"/>
    <x v="0"/>
    <x v="1"/>
  </r>
  <r>
    <n v="381"/>
    <x v="1"/>
    <x v="376"/>
    <x v="9"/>
    <n v="26"/>
    <x v="0"/>
    <x v="4"/>
    <s v="Fri, Mon, Sun, Tue, Wed"/>
    <s v="Fri"/>
    <s v="Mon"/>
    <s v="Sun"/>
    <s v="Tue"/>
    <s v="Wed"/>
    <b v="0"/>
    <s v=""/>
    <m/>
    <m/>
    <m/>
    <d v="1899-12-30T18:01:00"/>
    <d v="1899-12-30T18:43:00"/>
    <x v="75"/>
    <b v="1"/>
    <s v="lemon, coconut_pineapple"/>
    <s v="lemon"/>
    <s v="coconut_pineapple"/>
    <x v="0"/>
    <x v="0"/>
    <x v="1"/>
  </r>
  <r>
    <n v="382"/>
    <x v="1"/>
    <x v="377"/>
    <x v="28"/>
    <n v="45"/>
    <x v="0"/>
    <x v="3"/>
    <s v="Mon, Wed"/>
    <s v="Mon"/>
    <s v="Wed"/>
    <m/>
    <m/>
    <m/>
    <b v="1"/>
    <s v="HIT, Spinning"/>
    <s v="HIT"/>
    <s v="Spinning"/>
    <m/>
    <d v="1899-12-30T14:20:00"/>
    <d v="1899-12-30T17:20:00"/>
    <x v="5"/>
    <b v="1"/>
    <s v="black_currant"/>
    <s v="black_currant"/>
    <m/>
    <x v="1"/>
    <x v="4"/>
    <x v="0"/>
  </r>
  <r>
    <n v="383"/>
    <x v="0"/>
    <x v="378"/>
    <x v="9"/>
    <n v="26"/>
    <x v="1"/>
    <x v="3"/>
    <s v="Sat, Thu"/>
    <s v="Sat"/>
    <s v="Thu"/>
    <m/>
    <m/>
    <m/>
    <b v="0"/>
    <s v=""/>
    <m/>
    <m/>
    <m/>
    <d v="1899-12-30T20:26:00"/>
    <d v="1899-12-30T21:25:00"/>
    <x v="112"/>
    <b v="0"/>
    <s v=""/>
    <m/>
    <m/>
    <x v="1"/>
    <x v="1"/>
    <x v="0"/>
  </r>
  <r>
    <n v="384"/>
    <x v="0"/>
    <x v="379"/>
    <x v="9"/>
    <n v="26"/>
    <x v="0"/>
    <x v="1"/>
    <s v="Sat, Thu, Tue"/>
    <s v="Sat"/>
    <s v="Thu"/>
    <s v="Tue"/>
    <m/>
    <m/>
    <b v="1"/>
    <s v="BodyBalance, Pilates, Kickboxen"/>
    <s v="BodyBalance"/>
    <s v="Pilates"/>
    <s v="Kickboxen"/>
    <d v="1899-12-30T17:35:00"/>
    <d v="1899-12-30T18:31:00"/>
    <x v="81"/>
    <b v="1"/>
    <s v="coconut_pineapple, black_currant"/>
    <s v="coconut_pineapple"/>
    <s v="black_currant"/>
    <x v="0"/>
    <x v="0"/>
    <x v="0"/>
  </r>
  <r>
    <n v="385"/>
    <x v="0"/>
    <x v="380"/>
    <x v="24"/>
    <n v="16"/>
    <x v="0"/>
    <x v="1"/>
    <s v="Sun, Thu, Wed"/>
    <s v="Sun"/>
    <s v="Thu"/>
    <s v="Wed"/>
    <m/>
    <m/>
    <b v="1"/>
    <s v="LesMiles, HIT, Pilates"/>
    <s v="LesMiles"/>
    <s v="HIT"/>
    <s v="Pilates"/>
    <d v="1899-12-30T12:45:00"/>
    <d v="1899-12-30T14:42:00"/>
    <x v="73"/>
    <b v="1"/>
    <s v="orange, lemon"/>
    <s v="orange"/>
    <s v="lemon"/>
    <x v="1"/>
    <x v="4"/>
    <x v="1"/>
  </r>
  <r>
    <n v="386"/>
    <x v="1"/>
    <x v="381"/>
    <x v="36"/>
    <n v="49"/>
    <x v="0"/>
    <x v="2"/>
    <s v="Fri"/>
    <s v="Fri"/>
    <m/>
    <m/>
    <m/>
    <m/>
    <b v="1"/>
    <s v="Kickboxen, BodyBalance"/>
    <s v="Kickboxen"/>
    <s v="BodyBalance"/>
    <m/>
    <d v="1899-12-30T13:06:00"/>
    <d v="1899-12-30T14:29:00"/>
    <x v="88"/>
    <b v="0"/>
    <s v=""/>
    <m/>
    <m/>
    <x v="1"/>
    <x v="4"/>
    <x v="0"/>
  </r>
  <r>
    <n v="387"/>
    <x v="1"/>
    <x v="382"/>
    <x v="38"/>
    <n v="26"/>
    <x v="0"/>
    <x v="3"/>
    <s v="Tue, Wed"/>
    <s v="Tue"/>
    <s v="Wed"/>
    <m/>
    <m/>
    <m/>
    <b v="1"/>
    <s v="XCore"/>
    <s v="XCore"/>
    <m/>
    <m/>
    <d v="1899-12-30T19:08:00"/>
    <d v="1899-12-30T21:19:00"/>
    <x v="95"/>
    <b v="1"/>
    <s v="black_currant"/>
    <s v="black_currant"/>
    <m/>
    <x v="1"/>
    <x v="3"/>
    <x v="0"/>
  </r>
  <r>
    <n v="388"/>
    <x v="1"/>
    <x v="383"/>
    <x v="18"/>
    <n v="19"/>
    <x v="1"/>
    <x v="3"/>
    <s v="Fri, Sat"/>
    <s v="Fri"/>
    <s v="Sat"/>
    <m/>
    <m/>
    <m/>
    <b v="1"/>
    <s v="LesMiles, Kickboxen"/>
    <s v="LesMiles"/>
    <s v="Kickboxen"/>
    <m/>
    <d v="1899-12-30T20:23:00"/>
    <d v="1899-12-30T21:49:00"/>
    <x v="30"/>
    <b v="0"/>
    <s v=""/>
    <m/>
    <m/>
    <x v="1"/>
    <x v="3"/>
    <x v="1"/>
  </r>
  <r>
    <n v="389"/>
    <x v="0"/>
    <x v="384"/>
    <x v="11"/>
    <n v="34"/>
    <x v="0"/>
    <x v="2"/>
    <s v="Thu"/>
    <s v="Thu"/>
    <m/>
    <m/>
    <m/>
    <m/>
    <b v="1"/>
    <s v="Spinning, BodyBalance"/>
    <s v="Spinning"/>
    <s v="BodyBalance"/>
    <m/>
    <d v="1899-12-30T17:57:00"/>
    <d v="1899-12-30T19:46:00"/>
    <x v="92"/>
    <b v="0"/>
    <s v=""/>
    <m/>
    <m/>
    <x v="1"/>
    <x v="1"/>
    <x v="0"/>
  </r>
  <r>
    <n v="390"/>
    <x v="0"/>
    <x v="385"/>
    <x v="37"/>
    <n v="12"/>
    <x v="1"/>
    <x v="1"/>
    <s v="Mon, Sat, Tue"/>
    <s v="Mon"/>
    <s v="Sat"/>
    <s v="Tue"/>
    <m/>
    <m/>
    <b v="0"/>
    <s v=""/>
    <m/>
    <m/>
    <m/>
    <d v="1899-12-30T08:59:00"/>
    <d v="1899-12-30T10:26:00"/>
    <x v="38"/>
    <b v="0"/>
    <s v=""/>
    <m/>
    <m/>
    <x v="1"/>
    <x v="4"/>
    <x v="1"/>
  </r>
  <r>
    <n v="391"/>
    <x v="0"/>
    <x v="386"/>
    <x v="9"/>
    <n v="26"/>
    <x v="1"/>
    <x v="4"/>
    <s v="Fri, Mon, Sat, Thu, Tue"/>
    <s v="Fri"/>
    <s v="Mon"/>
    <s v="Sat"/>
    <s v="Thu"/>
    <s v="Tue"/>
    <b v="0"/>
    <s v=""/>
    <m/>
    <m/>
    <m/>
    <d v="1899-12-30T13:34:00"/>
    <d v="1899-12-30T15:19:00"/>
    <x v="94"/>
    <b v="1"/>
    <s v="passion_fruit, berry_boost"/>
    <s v="passion_fruit"/>
    <s v="berry_boost"/>
    <x v="0"/>
    <x v="0"/>
    <x v="0"/>
  </r>
  <r>
    <n v="392"/>
    <x v="0"/>
    <x v="387"/>
    <x v="33"/>
    <n v="39"/>
    <x v="1"/>
    <x v="3"/>
    <s v="Thu, Wed"/>
    <s v="Thu"/>
    <s v="Wed"/>
    <m/>
    <m/>
    <m/>
    <b v="1"/>
    <s v="Spinning, Yoga"/>
    <s v="Spinning"/>
    <s v="Yoga"/>
    <m/>
    <d v="1899-12-30T08:25:00"/>
    <d v="1899-12-30T10:10:00"/>
    <x v="94"/>
    <b v="0"/>
    <s v=""/>
    <m/>
    <m/>
    <x v="1"/>
    <x v="3"/>
    <x v="1"/>
  </r>
  <r>
    <n v="393"/>
    <x v="0"/>
    <x v="388"/>
    <x v="2"/>
    <n v="41"/>
    <x v="1"/>
    <x v="0"/>
    <s v="Mon, Sun, Tue, Wed"/>
    <s v="Mon"/>
    <s v="Sun"/>
    <s v="Tue"/>
    <s v="Wed"/>
    <m/>
    <b v="1"/>
    <s v="XCore, Spinning"/>
    <s v="XCore"/>
    <s v="Spinning"/>
    <m/>
    <d v="1899-12-30T10:09:00"/>
    <d v="1899-12-30T10:57:00"/>
    <x v="1"/>
    <b v="1"/>
    <s v="coconut_pineapple, passion_fruit"/>
    <s v="coconut_pineapple"/>
    <s v="passion_fruit"/>
    <x v="0"/>
    <x v="0"/>
    <x v="1"/>
  </r>
  <r>
    <n v="394"/>
    <x v="0"/>
    <x v="389"/>
    <x v="31"/>
    <n v="17"/>
    <x v="0"/>
    <x v="3"/>
    <s v="Fri, Tue"/>
    <s v="Fri"/>
    <s v="Tue"/>
    <m/>
    <m/>
    <m/>
    <b v="0"/>
    <s v=""/>
    <m/>
    <m/>
    <m/>
    <d v="1899-12-30T09:30:00"/>
    <d v="1899-12-30T12:24:00"/>
    <x v="90"/>
    <b v="1"/>
    <s v="black_currant"/>
    <s v="black_currant"/>
    <m/>
    <x v="1"/>
    <x v="4"/>
    <x v="0"/>
  </r>
  <r>
    <n v="395"/>
    <x v="0"/>
    <x v="390"/>
    <x v="26"/>
    <n v="28"/>
    <x v="1"/>
    <x v="1"/>
    <s v="Sat, Thu, Wed"/>
    <s v="Sat"/>
    <s v="Thu"/>
    <s v="Wed"/>
    <m/>
    <m/>
    <b v="0"/>
    <s v=""/>
    <m/>
    <m/>
    <m/>
    <d v="1899-12-30T19:59:00"/>
    <d v="1899-12-30T20:40:00"/>
    <x v="110"/>
    <b v="0"/>
    <s v=""/>
    <m/>
    <m/>
    <x v="1"/>
    <x v="1"/>
    <x v="1"/>
  </r>
  <r>
    <n v="396"/>
    <x v="0"/>
    <x v="391"/>
    <x v="13"/>
    <n v="37"/>
    <x v="0"/>
    <x v="1"/>
    <s v="Sat, Sun, Wed"/>
    <s v="Sat"/>
    <s v="Sun"/>
    <s v="Wed"/>
    <m/>
    <m/>
    <b v="0"/>
    <s v=""/>
    <m/>
    <m/>
    <m/>
    <d v="1899-12-30T13:08:00"/>
    <d v="1899-12-30T13:56:00"/>
    <x v="1"/>
    <b v="0"/>
    <s v=""/>
    <m/>
    <m/>
    <x v="0"/>
    <x v="0"/>
    <x v="0"/>
  </r>
  <r>
    <n v="397"/>
    <x v="0"/>
    <x v="392"/>
    <x v="32"/>
    <n v="33"/>
    <x v="1"/>
    <x v="1"/>
    <s v="Fri, Sat, Sun"/>
    <s v="Fri"/>
    <s v="Sat"/>
    <s v="Sun"/>
    <m/>
    <m/>
    <b v="0"/>
    <s v=""/>
    <m/>
    <m/>
    <m/>
    <d v="1899-12-30T08:47:00"/>
    <d v="1899-12-30T09:52:00"/>
    <x v="93"/>
    <b v="0"/>
    <s v=""/>
    <m/>
    <m/>
    <x v="0"/>
    <x v="0"/>
    <x v="0"/>
  </r>
  <r>
    <n v="398"/>
    <x v="0"/>
    <x v="393"/>
    <x v="28"/>
    <n v="45"/>
    <x v="0"/>
    <x v="3"/>
    <s v="Mon, Thu"/>
    <s v="Mon"/>
    <s v="Thu"/>
    <m/>
    <m/>
    <m/>
    <b v="1"/>
    <s v="LesMiles, Yoga, Zumba"/>
    <s v="LesMiles"/>
    <s v="Yoga"/>
    <s v="Zumba"/>
    <d v="1899-12-30T10:37:00"/>
    <d v="1899-12-30T13:10:00"/>
    <x v="117"/>
    <b v="1"/>
    <s v="coconut_pineapple, lemon"/>
    <s v="coconut_pineapple"/>
    <s v="lemon"/>
    <x v="1"/>
    <x v="4"/>
    <x v="0"/>
  </r>
  <r>
    <n v="399"/>
    <x v="1"/>
    <x v="394"/>
    <x v="31"/>
    <n v="17"/>
    <x v="0"/>
    <x v="3"/>
    <s v="Fri, Sat"/>
    <s v="Fri"/>
    <s v="Sat"/>
    <m/>
    <m/>
    <m/>
    <b v="0"/>
    <s v=""/>
    <m/>
    <m/>
    <m/>
    <d v="1899-12-30T08:38:00"/>
    <d v="1899-12-30T11:24:00"/>
    <x v="57"/>
    <b v="0"/>
    <s v=""/>
    <m/>
    <m/>
    <x v="1"/>
    <x v="2"/>
    <x v="0"/>
  </r>
  <r>
    <n v="400"/>
    <x v="1"/>
    <x v="395"/>
    <x v="25"/>
    <n v="29"/>
    <x v="1"/>
    <x v="1"/>
    <s v="Fri, Sat, Thu"/>
    <s v="Fri"/>
    <s v="Sat"/>
    <s v="Thu"/>
    <m/>
    <m/>
    <b v="1"/>
    <s v="Kickboxen"/>
    <s v="Kickboxen"/>
    <m/>
    <m/>
    <d v="1899-12-30T13:02:00"/>
    <d v="1899-12-30T14:08:00"/>
    <x v="66"/>
    <b v="0"/>
    <s v=""/>
    <m/>
    <m/>
    <x v="0"/>
    <x v="0"/>
    <x v="0"/>
  </r>
  <r>
    <n v="401"/>
    <x v="0"/>
    <x v="396"/>
    <x v="18"/>
    <n v="20"/>
    <x v="0"/>
    <x v="2"/>
    <s v="Wed"/>
    <s v="Wed"/>
    <m/>
    <m/>
    <m/>
    <m/>
    <b v="0"/>
    <s v=""/>
    <m/>
    <m/>
    <m/>
    <d v="1899-12-30T17:52:00"/>
    <d v="1899-12-30T18:49:00"/>
    <x v="50"/>
    <b v="1"/>
    <s v="black_currant"/>
    <s v="black_currant"/>
    <m/>
    <x v="1"/>
    <x v="4"/>
    <x v="0"/>
  </r>
  <r>
    <n v="402"/>
    <x v="0"/>
    <x v="397"/>
    <x v="31"/>
    <n v="17"/>
    <x v="0"/>
    <x v="3"/>
    <s v="Fri, Thu"/>
    <s v="Fri"/>
    <s v="Thu"/>
    <m/>
    <m/>
    <m/>
    <b v="1"/>
    <s v="LesMiles, Pilates, Yoga"/>
    <s v="LesMiles"/>
    <s v="Pilates"/>
    <s v="Yoga"/>
    <d v="1899-12-30T16:58:00"/>
    <d v="1899-12-30T19:40:00"/>
    <x v="44"/>
    <b v="1"/>
    <s v="orange"/>
    <s v="orange"/>
    <m/>
    <x v="0"/>
    <x v="0"/>
    <x v="0"/>
  </r>
  <r>
    <n v="403"/>
    <x v="0"/>
    <x v="398"/>
    <x v="24"/>
    <n v="16"/>
    <x v="0"/>
    <x v="1"/>
    <s v="Sat, Sun, Tue"/>
    <s v="Sat"/>
    <s v="Sun"/>
    <s v="Tue"/>
    <m/>
    <m/>
    <b v="0"/>
    <s v=""/>
    <m/>
    <m/>
    <m/>
    <d v="1899-12-30T15:15:00"/>
    <d v="1899-12-30T15:46:00"/>
    <x v="111"/>
    <b v="1"/>
    <s v="passion_fruit"/>
    <s v="passion_fruit"/>
    <m/>
    <x v="1"/>
    <x v="1"/>
    <x v="1"/>
  </r>
  <r>
    <n v="404"/>
    <x v="0"/>
    <x v="399"/>
    <x v="5"/>
    <n v="15"/>
    <x v="0"/>
    <x v="1"/>
    <s v="Fri, Sat, Wed"/>
    <s v="Fri"/>
    <s v="Sat"/>
    <s v="Wed"/>
    <m/>
    <m/>
    <b v="1"/>
    <s v="Kickboxen, Zumba"/>
    <s v="Kickboxen"/>
    <s v="Zumba"/>
    <m/>
    <d v="1899-12-30T11:02:00"/>
    <d v="1899-12-30T11:38:00"/>
    <x v="10"/>
    <b v="1"/>
    <s v="berry_boost, black_currant"/>
    <s v="berry_boost"/>
    <s v="black_currant"/>
    <x v="1"/>
    <x v="1"/>
    <x v="0"/>
  </r>
  <r>
    <n v="405"/>
    <x v="1"/>
    <x v="400"/>
    <x v="0"/>
    <n v="27"/>
    <x v="0"/>
    <x v="3"/>
    <s v="Mon, Sun"/>
    <s v="Mon"/>
    <s v="Sun"/>
    <m/>
    <m/>
    <m/>
    <b v="1"/>
    <s v="LesMiles, Yoga, Spinning"/>
    <s v="LesMiles"/>
    <s v="Yoga"/>
    <s v="Spinning"/>
    <d v="1899-12-30T16:35:00"/>
    <d v="1899-12-30T18:56:00"/>
    <x v="113"/>
    <b v="1"/>
    <s v="lemon"/>
    <s v="lemon"/>
    <m/>
    <x v="1"/>
    <x v="3"/>
    <x v="1"/>
  </r>
  <r>
    <n v="406"/>
    <x v="0"/>
    <x v="401"/>
    <x v="9"/>
    <n v="26"/>
    <x v="1"/>
    <x v="0"/>
    <s v="Mon, Sat, Thu, Wed"/>
    <s v="Mon"/>
    <s v="Sat"/>
    <s v="Thu"/>
    <s v="Wed"/>
    <m/>
    <b v="1"/>
    <s v="Pilates, Spinning"/>
    <s v="Pilates"/>
    <s v="Spinning"/>
    <m/>
    <d v="1899-12-30T13:03:00"/>
    <d v="1899-12-30T15:39:00"/>
    <x v="78"/>
    <b v="0"/>
    <s v=""/>
    <m/>
    <m/>
    <x v="1"/>
    <x v="1"/>
    <x v="0"/>
  </r>
  <r>
    <n v="407"/>
    <x v="0"/>
    <x v="402"/>
    <x v="19"/>
    <n v="22"/>
    <x v="1"/>
    <x v="1"/>
    <s v="Sat, Thu, Tue"/>
    <s v="Sat"/>
    <s v="Thu"/>
    <s v="Tue"/>
    <m/>
    <m/>
    <b v="1"/>
    <s v="LesMiles, Pilates"/>
    <s v="LesMiles"/>
    <s v="Pilates"/>
    <m/>
    <d v="1899-12-30T17:29:00"/>
    <d v="1899-12-30T19:06:00"/>
    <x v="124"/>
    <b v="1"/>
    <s v="lemon, black_currant"/>
    <s v="lemon"/>
    <s v="black_currant"/>
    <x v="0"/>
    <x v="0"/>
    <x v="1"/>
  </r>
  <r>
    <n v="408"/>
    <x v="1"/>
    <x v="403"/>
    <x v="29"/>
    <n v="22"/>
    <x v="0"/>
    <x v="2"/>
    <s v="Fri"/>
    <s v="Fri"/>
    <m/>
    <m/>
    <m/>
    <m/>
    <b v="0"/>
    <s v=""/>
    <m/>
    <m/>
    <m/>
    <d v="1899-12-30T11:31:00"/>
    <d v="1899-12-30T12:13:00"/>
    <x v="75"/>
    <b v="1"/>
    <s v="coconut_pineapple"/>
    <s v="coconut_pineapple"/>
    <m/>
    <x v="1"/>
    <x v="1"/>
    <x v="0"/>
  </r>
  <r>
    <n v="409"/>
    <x v="0"/>
    <x v="404"/>
    <x v="18"/>
    <n v="19"/>
    <x v="1"/>
    <x v="1"/>
    <s v="Sun, Thu, Wed"/>
    <s v="Sun"/>
    <s v="Thu"/>
    <s v="Wed"/>
    <m/>
    <m/>
    <b v="0"/>
    <s v=""/>
    <m/>
    <m/>
    <m/>
    <d v="1899-12-30T18:07:00"/>
    <d v="1899-12-30T20:51:00"/>
    <x v="130"/>
    <b v="0"/>
    <s v=""/>
    <m/>
    <m/>
    <x v="1"/>
    <x v="3"/>
    <x v="0"/>
  </r>
  <r>
    <n v="410"/>
    <x v="1"/>
    <x v="405"/>
    <x v="28"/>
    <n v="45"/>
    <x v="0"/>
    <x v="1"/>
    <s v="Sun, Tue, Wed"/>
    <s v="Sun"/>
    <s v="Tue"/>
    <s v="Wed"/>
    <m/>
    <m/>
    <b v="0"/>
    <s v=""/>
    <m/>
    <m/>
    <m/>
    <d v="1899-12-30T11:20:00"/>
    <d v="1899-12-30T14:08:00"/>
    <x v="104"/>
    <b v="0"/>
    <s v=""/>
    <m/>
    <m/>
    <x v="1"/>
    <x v="2"/>
    <x v="0"/>
  </r>
  <r>
    <n v="411"/>
    <x v="0"/>
    <x v="406"/>
    <x v="3"/>
    <n v="44"/>
    <x v="1"/>
    <x v="3"/>
    <s v="Tue, Wed"/>
    <s v="Tue"/>
    <s v="Wed"/>
    <m/>
    <m/>
    <m/>
    <b v="0"/>
    <s v=""/>
    <m/>
    <m/>
    <m/>
    <d v="1899-12-30T11:53:00"/>
    <d v="1899-12-30T12:48:00"/>
    <x v="138"/>
    <b v="0"/>
    <s v=""/>
    <m/>
    <m/>
    <x v="0"/>
    <x v="0"/>
    <x v="1"/>
  </r>
  <r>
    <n v="412"/>
    <x v="1"/>
    <x v="407"/>
    <x v="33"/>
    <n v="39"/>
    <x v="1"/>
    <x v="3"/>
    <s v="Sun, Tue"/>
    <s v="Sun"/>
    <s v="Tue"/>
    <m/>
    <m/>
    <m/>
    <b v="1"/>
    <s v="LesMiles, BodyPump"/>
    <s v="LesMiles"/>
    <s v="BodyPump"/>
    <m/>
    <d v="1899-12-30T19:02:00"/>
    <d v="1899-12-30T19:47:00"/>
    <x v="139"/>
    <b v="1"/>
    <s v="berry_boost"/>
    <s v="berry_boost"/>
    <m/>
    <x v="1"/>
    <x v="1"/>
    <x v="1"/>
  </r>
  <r>
    <n v="413"/>
    <x v="1"/>
    <x v="408"/>
    <x v="6"/>
    <n v="30"/>
    <x v="0"/>
    <x v="2"/>
    <s v="Sun"/>
    <s v="Sun"/>
    <m/>
    <m/>
    <m/>
    <m/>
    <b v="1"/>
    <s v="LesMiles"/>
    <s v="LesMiles"/>
    <m/>
    <m/>
    <d v="1899-12-30T08:38:00"/>
    <d v="1899-12-30T10:08:00"/>
    <x v="140"/>
    <b v="0"/>
    <s v=""/>
    <m/>
    <m/>
    <x v="1"/>
    <x v="2"/>
    <x v="0"/>
  </r>
  <r>
    <n v="414"/>
    <x v="0"/>
    <x v="409"/>
    <x v="25"/>
    <n v="29"/>
    <x v="1"/>
    <x v="2"/>
    <s v="Sun"/>
    <s v="Sun"/>
    <m/>
    <m/>
    <m/>
    <m/>
    <b v="1"/>
    <s v="BodyPump"/>
    <s v="BodyPump"/>
    <m/>
    <m/>
    <d v="1899-12-30T12:26:00"/>
    <d v="1899-12-30T13:45:00"/>
    <x v="32"/>
    <b v="0"/>
    <s v=""/>
    <m/>
    <m/>
    <x v="0"/>
    <x v="0"/>
    <x v="1"/>
  </r>
  <r>
    <n v="415"/>
    <x v="0"/>
    <x v="410"/>
    <x v="25"/>
    <n v="29"/>
    <x v="0"/>
    <x v="2"/>
    <s v="Sat"/>
    <s v="Sat"/>
    <m/>
    <m/>
    <m/>
    <m/>
    <b v="0"/>
    <s v=""/>
    <m/>
    <m/>
    <m/>
    <d v="1899-12-30T16:54:00"/>
    <d v="1899-12-30T18:15:00"/>
    <x v="27"/>
    <b v="0"/>
    <s v=""/>
    <m/>
    <m/>
    <x v="1"/>
    <x v="1"/>
    <x v="0"/>
  </r>
  <r>
    <n v="416"/>
    <x v="1"/>
    <x v="411"/>
    <x v="12"/>
    <n v="36"/>
    <x v="0"/>
    <x v="1"/>
    <s v="Sat, Sun, Wed"/>
    <s v="Sat"/>
    <s v="Sun"/>
    <s v="Wed"/>
    <m/>
    <m/>
    <b v="1"/>
    <s v="LesMiles"/>
    <s v="LesMiles"/>
    <m/>
    <m/>
    <d v="1899-12-30T19:37:00"/>
    <d v="1899-12-30T20:38:00"/>
    <x v="13"/>
    <b v="0"/>
    <s v=""/>
    <m/>
    <m/>
    <x v="0"/>
    <x v="0"/>
    <x v="0"/>
  </r>
  <r>
    <n v="417"/>
    <x v="0"/>
    <x v="412"/>
    <x v="24"/>
    <n v="16"/>
    <x v="1"/>
    <x v="1"/>
    <s v="Fri, Sun, Wed"/>
    <s v="Fri"/>
    <s v="Sun"/>
    <s v="Wed"/>
    <m/>
    <m/>
    <b v="1"/>
    <s v="Kickboxen, Pilates"/>
    <s v="Kickboxen"/>
    <s v="Pilates"/>
    <m/>
    <d v="1899-12-30T14:53:00"/>
    <d v="1899-12-30T17:02:00"/>
    <x v="141"/>
    <b v="1"/>
    <s v="coconut_pineapple"/>
    <s v="coconut_pineapple"/>
    <m/>
    <x v="0"/>
    <x v="0"/>
    <x v="0"/>
  </r>
  <r>
    <n v="418"/>
    <x v="0"/>
    <x v="413"/>
    <x v="27"/>
    <n v="49"/>
    <x v="0"/>
    <x v="1"/>
    <s v="Mon, Sun, Wed"/>
    <s v="Mon"/>
    <s v="Sun"/>
    <s v="Wed"/>
    <m/>
    <m/>
    <b v="0"/>
    <s v=""/>
    <m/>
    <m/>
    <m/>
    <d v="1899-12-30T19:37:00"/>
    <d v="1899-12-30T21:31:00"/>
    <x v="25"/>
    <b v="1"/>
    <s v="berry_boost, coconut_pineapple"/>
    <s v="berry_boost"/>
    <s v="coconut_pineapple"/>
    <x v="0"/>
    <x v="0"/>
    <x v="1"/>
  </r>
  <r>
    <n v="419"/>
    <x v="0"/>
    <x v="414"/>
    <x v="18"/>
    <n v="19"/>
    <x v="0"/>
    <x v="1"/>
    <s v="Sat, Tue, Wed"/>
    <s v="Sat"/>
    <s v="Tue"/>
    <s v="Wed"/>
    <m/>
    <m/>
    <b v="1"/>
    <s v="Kickboxen, Spinning, HIT"/>
    <s v="Kickboxen"/>
    <s v="Spinning"/>
    <s v="HIT"/>
    <d v="1899-12-30T10:33:00"/>
    <d v="1899-12-30T11:32:00"/>
    <x v="112"/>
    <b v="0"/>
    <s v=""/>
    <m/>
    <m/>
    <x v="0"/>
    <x v="0"/>
    <x v="1"/>
  </r>
  <r>
    <n v="420"/>
    <x v="1"/>
    <x v="415"/>
    <x v="1"/>
    <n v="46"/>
    <x v="0"/>
    <x v="3"/>
    <s v="Fri, Tue"/>
    <s v="Fri"/>
    <s v="Tue"/>
    <m/>
    <m/>
    <m/>
    <b v="0"/>
    <s v=""/>
    <m/>
    <m/>
    <m/>
    <d v="1899-12-30T11:27:00"/>
    <d v="1899-12-30T13:39:00"/>
    <x v="121"/>
    <b v="1"/>
    <s v="coconut_pineapple, black_currant"/>
    <s v="coconut_pineapple"/>
    <s v="black_currant"/>
    <x v="1"/>
    <x v="4"/>
    <x v="1"/>
  </r>
  <r>
    <n v="421"/>
    <x v="0"/>
    <x v="416"/>
    <x v="9"/>
    <n v="26"/>
    <x v="1"/>
    <x v="1"/>
    <s v="Thu, Tue, Wed"/>
    <s v="Thu"/>
    <s v="Tue"/>
    <s v="Wed"/>
    <m/>
    <m/>
    <b v="0"/>
    <s v=""/>
    <m/>
    <m/>
    <m/>
    <d v="1899-12-30T14:54:00"/>
    <d v="1899-12-30T16:46:00"/>
    <x v="22"/>
    <b v="1"/>
    <s v="orange, black_currant"/>
    <s v="orange"/>
    <s v="black_currant"/>
    <x v="1"/>
    <x v="1"/>
    <x v="0"/>
  </r>
  <r>
    <n v="422"/>
    <x v="0"/>
    <x v="417"/>
    <x v="11"/>
    <n v="34"/>
    <x v="1"/>
    <x v="0"/>
    <s v="Fri, Thu, Tue, Wed"/>
    <s v="Fri"/>
    <s v="Thu"/>
    <s v="Tue"/>
    <s v="Wed"/>
    <m/>
    <b v="0"/>
    <s v=""/>
    <m/>
    <m/>
    <m/>
    <d v="1899-12-30T12:46:00"/>
    <d v="1899-12-30T13:55:00"/>
    <x v="43"/>
    <b v="0"/>
    <s v=""/>
    <m/>
    <m/>
    <x v="0"/>
    <x v="0"/>
    <x v="1"/>
  </r>
  <r>
    <n v="423"/>
    <x v="0"/>
    <x v="418"/>
    <x v="13"/>
    <n v="37"/>
    <x v="0"/>
    <x v="4"/>
    <s v="Fri, Mon, Sat, Sun, Thu"/>
    <s v="Fri"/>
    <s v="Mon"/>
    <s v="Sat"/>
    <s v="Sun"/>
    <s v="Thu"/>
    <b v="1"/>
    <s v="XCore"/>
    <s v="XCore"/>
    <m/>
    <m/>
    <d v="1899-12-30T18:48:00"/>
    <d v="1899-12-30T21:03:00"/>
    <x v="33"/>
    <b v="0"/>
    <s v=""/>
    <m/>
    <m/>
    <x v="1"/>
    <x v="1"/>
    <x v="0"/>
  </r>
  <r>
    <n v="424"/>
    <x v="0"/>
    <x v="419"/>
    <x v="29"/>
    <n v="22"/>
    <x v="0"/>
    <x v="2"/>
    <s v="Sun"/>
    <s v="Sun"/>
    <m/>
    <m/>
    <m/>
    <m/>
    <b v="1"/>
    <s v="Pilates, LesMiles, Spinning"/>
    <s v="Pilates"/>
    <s v="LesMiles"/>
    <s v="Spinning"/>
    <d v="1899-12-30T12:27:00"/>
    <d v="1899-12-30T14:03:00"/>
    <x v="126"/>
    <b v="1"/>
    <s v="coconut_pineapple"/>
    <s v="coconut_pineapple"/>
    <m/>
    <x v="0"/>
    <x v="0"/>
    <x v="0"/>
  </r>
  <r>
    <n v="425"/>
    <x v="1"/>
    <x v="420"/>
    <x v="2"/>
    <n v="41"/>
    <x v="0"/>
    <x v="4"/>
    <s v="Mon, Sat, Sun, Tue, Wed"/>
    <s v="Mon"/>
    <s v="Sat"/>
    <s v="Sun"/>
    <s v="Tue"/>
    <s v="Wed"/>
    <b v="0"/>
    <s v=""/>
    <m/>
    <m/>
    <m/>
    <d v="1899-12-30T16:21:00"/>
    <d v="1899-12-30T18:38:00"/>
    <x v="40"/>
    <b v="0"/>
    <s v=""/>
    <m/>
    <m/>
    <x v="1"/>
    <x v="1"/>
    <x v="1"/>
  </r>
  <r>
    <n v="426"/>
    <x v="0"/>
    <x v="421"/>
    <x v="33"/>
    <n v="39"/>
    <x v="0"/>
    <x v="3"/>
    <s v="Fri, Sat"/>
    <s v="Fri"/>
    <s v="Sat"/>
    <m/>
    <m/>
    <m/>
    <b v="0"/>
    <s v=""/>
    <m/>
    <m/>
    <m/>
    <d v="1899-12-30T20:04:00"/>
    <d v="1899-12-30T20:43:00"/>
    <x v="115"/>
    <b v="0"/>
    <s v=""/>
    <m/>
    <m/>
    <x v="0"/>
    <x v="0"/>
    <x v="1"/>
  </r>
  <r>
    <n v="427"/>
    <x v="1"/>
    <x v="422"/>
    <x v="17"/>
    <n v="14"/>
    <x v="0"/>
    <x v="1"/>
    <s v="Fri, Mon, Sun"/>
    <s v="Fri"/>
    <s v="Mon"/>
    <s v="Sun"/>
    <m/>
    <m/>
    <b v="0"/>
    <s v=""/>
    <m/>
    <m/>
    <m/>
    <d v="1899-12-30T16:05:00"/>
    <d v="1899-12-30T19:05:00"/>
    <x v="5"/>
    <b v="1"/>
    <s v="black_currant"/>
    <s v="black_currant"/>
    <m/>
    <x v="1"/>
    <x v="2"/>
    <x v="1"/>
  </r>
  <r>
    <n v="428"/>
    <x v="0"/>
    <x v="423"/>
    <x v="24"/>
    <n v="16"/>
    <x v="1"/>
    <x v="1"/>
    <s v="Sat, Sun, Wed"/>
    <s v="Sat"/>
    <s v="Sun"/>
    <s v="Wed"/>
    <m/>
    <m/>
    <b v="1"/>
    <s v="Pilates, BodyBalance, Spinning"/>
    <s v="Pilates"/>
    <s v="BodyBalance"/>
    <s v="Spinning"/>
    <d v="1899-12-30T14:06:00"/>
    <d v="1899-12-30T16:15:00"/>
    <x v="141"/>
    <b v="1"/>
    <s v="berry_boost"/>
    <s v="berry_boost"/>
    <m/>
    <x v="0"/>
    <x v="0"/>
    <x v="1"/>
  </r>
  <r>
    <n v="429"/>
    <x v="1"/>
    <x v="424"/>
    <x v="34"/>
    <n v="31"/>
    <x v="1"/>
    <x v="3"/>
    <s v="Sun, Thu"/>
    <s v="Sun"/>
    <s v="Thu"/>
    <m/>
    <m/>
    <m/>
    <b v="1"/>
    <s v="Yoga, Pilates, BodyPump"/>
    <s v="Yoga"/>
    <s v="Pilates"/>
    <s v="BodyPump"/>
    <d v="1899-12-30T17:57:00"/>
    <d v="1899-12-30T19:22:00"/>
    <x v="87"/>
    <b v="1"/>
    <s v="lemon, passion_fruit"/>
    <s v="lemon"/>
    <s v="passion_fruit"/>
    <x v="1"/>
    <x v="3"/>
    <x v="0"/>
  </r>
  <r>
    <n v="430"/>
    <x v="0"/>
    <x v="425"/>
    <x v="38"/>
    <n v="25"/>
    <x v="1"/>
    <x v="3"/>
    <s v="Mon, Thu"/>
    <s v="Mon"/>
    <s v="Thu"/>
    <m/>
    <m/>
    <m/>
    <b v="0"/>
    <s v=""/>
    <m/>
    <m/>
    <m/>
    <d v="1899-12-30T15:12:00"/>
    <d v="1899-12-30T15:57:00"/>
    <x v="139"/>
    <b v="1"/>
    <s v="coconut_pineapple"/>
    <s v="coconut_pineapple"/>
    <m/>
    <x v="1"/>
    <x v="1"/>
    <x v="1"/>
  </r>
  <r>
    <n v="431"/>
    <x v="1"/>
    <x v="426"/>
    <x v="34"/>
    <n v="31"/>
    <x v="0"/>
    <x v="3"/>
    <s v="Sun, Tue"/>
    <s v="Sun"/>
    <s v="Tue"/>
    <m/>
    <m/>
    <m/>
    <b v="1"/>
    <s v="Zumba, Yoga, Spinning"/>
    <s v="Zumba"/>
    <s v="Yoga"/>
    <s v="Spinning"/>
    <d v="1899-12-30T16:01:00"/>
    <d v="1899-12-30T18:11:00"/>
    <x v="28"/>
    <b v="1"/>
    <s v="black_currant, orange"/>
    <s v="black_currant"/>
    <s v="orange"/>
    <x v="0"/>
    <x v="0"/>
    <x v="0"/>
  </r>
  <r>
    <n v="432"/>
    <x v="1"/>
    <x v="427"/>
    <x v="6"/>
    <n v="30"/>
    <x v="1"/>
    <x v="4"/>
    <s v="Fri, Mon, Sun, Tue, Wed"/>
    <s v="Fri"/>
    <s v="Mon"/>
    <s v="Sun"/>
    <s v="Tue"/>
    <s v="Wed"/>
    <b v="1"/>
    <s v="Yoga, Spinning"/>
    <s v="Yoga"/>
    <s v="Spinning"/>
    <m/>
    <d v="1899-12-30T10:56:00"/>
    <d v="1899-12-30T13:40:00"/>
    <x v="130"/>
    <b v="0"/>
    <s v=""/>
    <m/>
    <m/>
    <x v="1"/>
    <x v="3"/>
    <x v="0"/>
  </r>
  <r>
    <n v="433"/>
    <x v="0"/>
    <x v="428"/>
    <x v="21"/>
    <n v="47"/>
    <x v="0"/>
    <x v="1"/>
    <s v="Sat, Sun, Thu"/>
    <s v="Sat"/>
    <s v="Sun"/>
    <s v="Thu"/>
    <m/>
    <m/>
    <b v="0"/>
    <s v=""/>
    <m/>
    <m/>
    <m/>
    <d v="1899-12-30T14:51:00"/>
    <d v="1899-12-30T17:38:00"/>
    <x v="17"/>
    <b v="1"/>
    <s v="orange"/>
    <s v="orange"/>
    <m/>
    <x v="0"/>
    <x v="0"/>
    <x v="0"/>
  </r>
  <r>
    <n v="434"/>
    <x v="0"/>
    <x v="429"/>
    <x v="25"/>
    <n v="29"/>
    <x v="1"/>
    <x v="4"/>
    <s v="Mon, Sat, Sun, Thu, Tue"/>
    <s v="Mon"/>
    <s v="Sat"/>
    <s v="Sun"/>
    <s v="Thu"/>
    <s v="Tue"/>
    <b v="0"/>
    <s v=""/>
    <m/>
    <m/>
    <m/>
    <d v="1899-12-30T18:14:00"/>
    <d v="1899-12-30T21:04:00"/>
    <x v="52"/>
    <b v="0"/>
    <s v=""/>
    <m/>
    <m/>
    <x v="0"/>
    <x v="0"/>
    <x v="1"/>
  </r>
  <r>
    <n v="435"/>
    <x v="0"/>
    <x v="430"/>
    <x v="4"/>
    <n v="43"/>
    <x v="1"/>
    <x v="2"/>
    <s v="Sat"/>
    <s v="Sat"/>
    <m/>
    <m/>
    <m/>
    <m/>
    <b v="1"/>
    <s v="Yoga"/>
    <s v="Yoga"/>
    <m/>
    <m/>
    <d v="1899-12-30T14:44:00"/>
    <d v="1899-12-30T16:44:00"/>
    <x v="116"/>
    <b v="1"/>
    <s v="passion_fruit, berry_boost"/>
    <s v="passion_fruit"/>
    <s v="berry_boost"/>
    <x v="1"/>
    <x v="1"/>
    <x v="0"/>
  </r>
  <r>
    <n v="436"/>
    <x v="1"/>
    <x v="431"/>
    <x v="30"/>
    <n v="23"/>
    <x v="1"/>
    <x v="2"/>
    <s v="Sun"/>
    <s v="Sun"/>
    <m/>
    <m/>
    <m/>
    <m/>
    <b v="0"/>
    <s v=""/>
    <m/>
    <m/>
    <m/>
    <d v="1899-12-30T11:28:00"/>
    <d v="1899-12-30T13:04:00"/>
    <x v="126"/>
    <b v="0"/>
    <s v=""/>
    <m/>
    <m/>
    <x v="1"/>
    <x v="2"/>
    <x v="1"/>
  </r>
  <r>
    <n v="437"/>
    <x v="1"/>
    <x v="432"/>
    <x v="0"/>
    <n v="27"/>
    <x v="0"/>
    <x v="3"/>
    <s v="Fri, Thu"/>
    <s v="Fri"/>
    <s v="Thu"/>
    <m/>
    <m/>
    <m/>
    <b v="1"/>
    <s v="LesMiles"/>
    <s v="LesMiles"/>
    <m/>
    <m/>
    <d v="1899-12-30T16:29:00"/>
    <d v="1899-12-30T19:08:00"/>
    <x v="31"/>
    <b v="1"/>
    <s v="coconut_pineapple"/>
    <s v="coconut_pineapple"/>
    <m/>
    <x v="0"/>
    <x v="0"/>
    <x v="0"/>
  </r>
  <r>
    <n v="438"/>
    <x v="1"/>
    <x v="433"/>
    <x v="11"/>
    <n v="34"/>
    <x v="0"/>
    <x v="3"/>
    <s v="Tue, Wed"/>
    <s v="Tue"/>
    <s v="Wed"/>
    <m/>
    <m/>
    <m/>
    <b v="0"/>
    <s v=""/>
    <m/>
    <m/>
    <m/>
    <d v="1899-12-30T17:18:00"/>
    <d v="1899-12-30T18:57:00"/>
    <x v="3"/>
    <b v="1"/>
    <s v="passion_fruit"/>
    <s v="passion_fruit"/>
    <m/>
    <x v="1"/>
    <x v="2"/>
    <x v="1"/>
  </r>
  <r>
    <n v="439"/>
    <x v="1"/>
    <x v="434"/>
    <x v="35"/>
    <n v="12"/>
    <x v="1"/>
    <x v="3"/>
    <s v="Sat, Wed"/>
    <s v="Sat"/>
    <s v="Wed"/>
    <m/>
    <m/>
    <m/>
    <b v="1"/>
    <s v="Kickboxen, BodyBalance"/>
    <s v="Kickboxen"/>
    <s v="BodyBalance"/>
    <m/>
    <d v="1899-12-30T13:58:00"/>
    <d v="1899-12-30T15:56:00"/>
    <x v="24"/>
    <b v="1"/>
    <s v="orange, lemon"/>
    <s v="orange"/>
    <s v="lemon"/>
    <x v="1"/>
    <x v="1"/>
    <x v="0"/>
  </r>
  <r>
    <n v="440"/>
    <x v="1"/>
    <x v="435"/>
    <x v="12"/>
    <n v="37"/>
    <x v="0"/>
    <x v="2"/>
    <s v="Sat"/>
    <s v="Sat"/>
    <m/>
    <m/>
    <m/>
    <m/>
    <b v="1"/>
    <s v="Running"/>
    <s v="Running"/>
    <m/>
    <m/>
    <d v="1899-12-30T13:10:00"/>
    <d v="1899-12-30T16:02:00"/>
    <x v="72"/>
    <b v="0"/>
    <s v=""/>
    <m/>
    <m/>
    <x v="0"/>
    <x v="0"/>
    <x v="0"/>
  </r>
  <r>
    <n v="441"/>
    <x v="0"/>
    <x v="436"/>
    <x v="15"/>
    <n v="38"/>
    <x v="1"/>
    <x v="1"/>
    <s v="Thu, Tue, Wed"/>
    <s v="Thu"/>
    <s v="Tue"/>
    <s v="Wed"/>
    <m/>
    <m/>
    <b v="1"/>
    <s v="Spinning"/>
    <s v="Spinning"/>
    <m/>
    <m/>
    <d v="1899-12-30T16:41:00"/>
    <d v="1899-12-30T17:48:00"/>
    <x v="82"/>
    <b v="1"/>
    <s v="lemon, berry_boost"/>
    <s v="lemon"/>
    <s v="berry_boost"/>
    <x v="0"/>
    <x v="0"/>
    <x v="0"/>
  </r>
  <r>
    <n v="442"/>
    <x v="0"/>
    <x v="437"/>
    <x v="6"/>
    <n v="30"/>
    <x v="1"/>
    <x v="2"/>
    <s v="Sat"/>
    <s v="Sat"/>
    <m/>
    <m/>
    <m/>
    <m/>
    <b v="0"/>
    <s v=""/>
    <m/>
    <m/>
    <m/>
    <d v="1899-12-30T14:08:00"/>
    <d v="1899-12-30T17:08:00"/>
    <x v="5"/>
    <b v="0"/>
    <s v=""/>
    <m/>
    <m/>
    <x v="1"/>
    <x v="4"/>
    <x v="1"/>
  </r>
  <r>
    <n v="443"/>
    <x v="0"/>
    <x v="438"/>
    <x v="38"/>
    <n v="25"/>
    <x v="1"/>
    <x v="3"/>
    <s v="Mon, Tue"/>
    <s v="Mon"/>
    <s v="Tue"/>
    <m/>
    <m/>
    <m/>
    <b v="1"/>
    <s v="Running, Spinning"/>
    <s v="Running"/>
    <s v="Spinning"/>
    <m/>
    <d v="1899-12-30T13:59:00"/>
    <d v="1899-12-30T15:29:00"/>
    <x v="140"/>
    <b v="0"/>
    <s v=""/>
    <m/>
    <m/>
    <x v="1"/>
    <x v="3"/>
    <x v="0"/>
  </r>
  <r>
    <n v="444"/>
    <x v="1"/>
    <x v="439"/>
    <x v="36"/>
    <n v="49"/>
    <x v="1"/>
    <x v="3"/>
    <s v="Mon, Sun"/>
    <s v="Mon"/>
    <s v="Sun"/>
    <m/>
    <m/>
    <m/>
    <b v="0"/>
    <s v=""/>
    <m/>
    <m/>
    <m/>
    <d v="1899-12-30T18:40:00"/>
    <d v="1899-12-30T20:46:00"/>
    <x v="70"/>
    <b v="0"/>
    <s v=""/>
    <m/>
    <m/>
    <x v="1"/>
    <x v="4"/>
    <x v="0"/>
  </r>
  <r>
    <n v="445"/>
    <x v="0"/>
    <x v="440"/>
    <x v="10"/>
    <n v="35"/>
    <x v="0"/>
    <x v="2"/>
    <s v="Tue"/>
    <s v="Tue"/>
    <m/>
    <m/>
    <m/>
    <m/>
    <b v="0"/>
    <s v=""/>
    <m/>
    <m/>
    <m/>
    <d v="1899-12-30T12:12:00"/>
    <d v="1899-12-30T14:48:00"/>
    <x v="78"/>
    <b v="1"/>
    <s v="black_currant"/>
    <s v="black_currant"/>
    <m/>
    <x v="0"/>
    <x v="0"/>
    <x v="1"/>
  </r>
  <r>
    <n v="446"/>
    <x v="0"/>
    <x v="441"/>
    <x v="2"/>
    <n v="41"/>
    <x v="1"/>
    <x v="3"/>
    <s v="Sun, Tue"/>
    <s v="Sun"/>
    <s v="Tue"/>
    <m/>
    <m/>
    <m/>
    <b v="1"/>
    <s v="HIT, BodyBalance"/>
    <s v="HIT"/>
    <s v="BodyBalance"/>
    <m/>
    <d v="1899-12-30T14:06:00"/>
    <d v="1899-12-30T16:06:00"/>
    <x v="116"/>
    <b v="1"/>
    <s v="orange, berry_boost"/>
    <s v="orange"/>
    <s v="berry_boost"/>
    <x v="1"/>
    <x v="3"/>
    <x v="0"/>
  </r>
  <r>
    <n v="447"/>
    <x v="1"/>
    <x v="442"/>
    <x v="32"/>
    <n v="33"/>
    <x v="0"/>
    <x v="1"/>
    <s v="Mon, Thu, Tue"/>
    <s v="Mon"/>
    <s v="Thu"/>
    <s v="Tue"/>
    <m/>
    <m/>
    <b v="0"/>
    <s v=""/>
    <m/>
    <m/>
    <m/>
    <d v="1899-12-30T09:14:00"/>
    <d v="1899-12-30T10:31:00"/>
    <x v="71"/>
    <b v="1"/>
    <s v="orange, lemon"/>
    <s v="orange"/>
    <s v="lemon"/>
    <x v="0"/>
    <x v="0"/>
    <x v="0"/>
  </r>
  <r>
    <n v="448"/>
    <x v="0"/>
    <x v="443"/>
    <x v="0"/>
    <n v="27"/>
    <x v="0"/>
    <x v="3"/>
    <s v="Fri, Tue"/>
    <s v="Fri"/>
    <s v="Tue"/>
    <m/>
    <m/>
    <m/>
    <b v="0"/>
    <s v=""/>
    <m/>
    <m/>
    <m/>
    <d v="1899-12-30T17:22:00"/>
    <d v="1899-12-30T19:32:00"/>
    <x v="28"/>
    <b v="1"/>
    <s v="passion_fruit, black_currant"/>
    <s v="passion_fruit"/>
    <s v="black_currant"/>
    <x v="0"/>
    <x v="0"/>
    <x v="1"/>
  </r>
  <r>
    <n v="449"/>
    <x v="0"/>
    <x v="444"/>
    <x v="23"/>
    <n v="18"/>
    <x v="1"/>
    <x v="1"/>
    <s v="Fri, Thu, Wed"/>
    <s v="Fri"/>
    <s v="Thu"/>
    <s v="Wed"/>
    <m/>
    <m/>
    <b v="1"/>
    <s v="BodyBalance, Pilates, HIT"/>
    <s v="BodyBalance"/>
    <s v="Pilates"/>
    <s v="HIT"/>
    <d v="1899-12-30T18:43:00"/>
    <d v="1899-12-30T21:06:00"/>
    <x v="83"/>
    <b v="1"/>
    <s v="passion_fruit"/>
    <s v="passion_fruit"/>
    <m/>
    <x v="0"/>
    <x v="0"/>
    <x v="0"/>
  </r>
  <r>
    <n v="450"/>
    <x v="1"/>
    <x v="445"/>
    <x v="23"/>
    <n v="18"/>
    <x v="0"/>
    <x v="0"/>
    <s v="Fri, Sat, Sun, Tue"/>
    <s v="Fri"/>
    <s v="Sat"/>
    <s v="Sun"/>
    <s v="Tue"/>
    <m/>
    <b v="1"/>
    <s v="Running"/>
    <s v="Running"/>
    <m/>
    <m/>
    <d v="1899-12-30T19:08:00"/>
    <d v="1899-12-30T21:32:00"/>
    <x v="9"/>
    <b v="1"/>
    <s v="black_currant"/>
    <s v="black_currant"/>
    <m/>
    <x v="0"/>
    <x v="0"/>
    <x v="1"/>
  </r>
  <r>
    <n v="451"/>
    <x v="0"/>
    <x v="446"/>
    <x v="6"/>
    <n v="30"/>
    <x v="0"/>
    <x v="0"/>
    <s v="Fri, Sat, Sun, Wed"/>
    <s v="Fri"/>
    <s v="Sat"/>
    <s v="Sun"/>
    <s v="Wed"/>
    <m/>
    <b v="1"/>
    <s v="BodyPump, Pilates, Yoga"/>
    <s v="BodyPump"/>
    <s v="Pilates"/>
    <s v="Yoga"/>
    <d v="1899-12-30T14:27:00"/>
    <d v="1899-12-30T16:09:00"/>
    <x v="23"/>
    <b v="0"/>
    <s v=""/>
    <m/>
    <m/>
    <x v="1"/>
    <x v="3"/>
    <x v="1"/>
  </r>
  <r>
    <n v="452"/>
    <x v="0"/>
    <x v="447"/>
    <x v="33"/>
    <n v="39"/>
    <x v="1"/>
    <x v="0"/>
    <s v="Sat, Sun, Thu, Tue"/>
    <s v="Sat"/>
    <s v="Sun"/>
    <s v="Thu"/>
    <s v="Tue"/>
    <m/>
    <b v="1"/>
    <s v="Spinning, HIT"/>
    <s v="Spinning"/>
    <s v="HIT"/>
    <m/>
    <d v="1899-12-30T16:21:00"/>
    <d v="1899-12-30T17:34:00"/>
    <x v="86"/>
    <b v="1"/>
    <s v="lemon, black_currant"/>
    <s v="lemon"/>
    <s v="black_currant"/>
    <x v="1"/>
    <x v="3"/>
    <x v="1"/>
  </r>
  <r>
    <n v="453"/>
    <x v="0"/>
    <x v="448"/>
    <x v="6"/>
    <n v="30"/>
    <x v="1"/>
    <x v="1"/>
    <s v="Sat, Sun, Wed"/>
    <s v="Sat"/>
    <s v="Sun"/>
    <s v="Wed"/>
    <m/>
    <m/>
    <b v="1"/>
    <s v="Yoga, Spinning"/>
    <s v="Yoga"/>
    <s v="Spinning"/>
    <m/>
    <d v="1899-12-30T18:36:00"/>
    <d v="1899-12-30T20:33:00"/>
    <x v="73"/>
    <b v="1"/>
    <s v="orange"/>
    <s v="orange"/>
    <m/>
    <x v="1"/>
    <x v="3"/>
    <x v="1"/>
  </r>
  <r>
    <n v="454"/>
    <x v="0"/>
    <x v="449"/>
    <x v="38"/>
    <n v="25"/>
    <x v="0"/>
    <x v="0"/>
    <s v="Mon, Sun, Tue, Wed"/>
    <s v="Mon"/>
    <s v="Sun"/>
    <s v="Tue"/>
    <s v="Wed"/>
    <m/>
    <b v="1"/>
    <s v="Running"/>
    <s v="Running"/>
    <m/>
    <m/>
    <d v="1899-12-30T18:14:00"/>
    <d v="1899-12-30T19:59:00"/>
    <x v="94"/>
    <b v="0"/>
    <s v=""/>
    <m/>
    <m/>
    <x v="1"/>
    <x v="1"/>
    <x v="0"/>
  </r>
  <r>
    <n v="455"/>
    <x v="0"/>
    <x v="450"/>
    <x v="24"/>
    <n v="16"/>
    <x v="1"/>
    <x v="2"/>
    <s v="Mon"/>
    <s v="Mon"/>
    <m/>
    <m/>
    <m/>
    <m/>
    <b v="1"/>
    <s v="BodyBalance, Pilates, Yoga"/>
    <s v="BodyBalance"/>
    <s v="Pilates"/>
    <s v="Yoga"/>
    <d v="1899-12-30T20:02:00"/>
    <d v="1899-12-30T22:37:00"/>
    <x v="142"/>
    <b v="0"/>
    <s v=""/>
    <m/>
    <m/>
    <x v="1"/>
    <x v="2"/>
    <x v="1"/>
  </r>
  <r>
    <n v="456"/>
    <x v="1"/>
    <x v="451"/>
    <x v="6"/>
    <n v="30"/>
    <x v="1"/>
    <x v="1"/>
    <s v="Sat, Thu, Wed"/>
    <s v="Sat"/>
    <s v="Thu"/>
    <s v="Wed"/>
    <m/>
    <m/>
    <b v="1"/>
    <s v="Yoga"/>
    <s v="Yoga"/>
    <m/>
    <m/>
    <d v="1899-12-30T14:55:00"/>
    <d v="1899-12-30T16:01:00"/>
    <x v="66"/>
    <b v="0"/>
    <s v=""/>
    <m/>
    <m/>
    <x v="1"/>
    <x v="1"/>
    <x v="0"/>
  </r>
  <r>
    <n v="457"/>
    <x v="0"/>
    <x v="452"/>
    <x v="2"/>
    <n v="41"/>
    <x v="0"/>
    <x v="2"/>
    <s v="Wed"/>
    <s v="Wed"/>
    <m/>
    <m/>
    <m/>
    <m/>
    <b v="0"/>
    <s v=""/>
    <m/>
    <m/>
    <m/>
    <d v="1899-12-30T16:21:00"/>
    <d v="1899-12-30T18:39:00"/>
    <x v="102"/>
    <b v="1"/>
    <s v="berry_boost"/>
    <s v="berry_boost"/>
    <m/>
    <x v="1"/>
    <x v="4"/>
    <x v="1"/>
  </r>
  <r>
    <n v="458"/>
    <x v="0"/>
    <x v="453"/>
    <x v="15"/>
    <n v="38"/>
    <x v="1"/>
    <x v="1"/>
    <s v="Mon, Sun, Tue"/>
    <s v="Mon"/>
    <s v="Sun"/>
    <s v="Tue"/>
    <m/>
    <m/>
    <b v="1"/>
    <s v="Pilates"/>
    <s v="Pilates"/>
    <m/>
    <m/>
    <d v="1899-12-30T11:37:00"/>
    <d v="1899-12-30T12:57:00"/>
    <x v="137"/>
    <b v="1"/>
    <s v="orange, black_currant"/>
    <s v="orange"/>
    <s v="black_currant"/>
    <x v="1"/>
    <x v="3"/>
    <x v="0"/>
  </r>
  <r>
    <n v="459"/>
    <x v="1"/>
    <x v="454"/>
    <x v="1"/>
    <n v="46"/>
    <x v="1"/>
    <x v="1"/>
    <s v="Sat, Thu, Tue"/>
    <s v="Sat"/>
    <s v="Thu"/>
    <s v="Tue"/>
    <m/>
    <m/>
    <b v="0"/>
    <s v=""/>
    <m/>
    <m/>
    <m/>
    <d v="1899-12-30T18:28:00"/>
    <d v="1899-12-30T19:40:00"/>
    <x v="109"/>
    <b v="0"/>
    <s v=""/>
    <m/>
    <m/>
    <x v="1"/>
    <x v="3"/>
    <x v="1"/>
  </r>
  <r>
    <n v="460"/>
    <x v="0"/>
    <x v="455"/>
    <x v="26"/>
    <n v="28"/>
    <x v="0"/>
    <x v="0"/>
    <s v="Mon, Sat, Thu, Wed"/>
    <s v="Mon"/>
    <s v="Sat"/>
    <s v="Thu"/>
    <s v="Wed"/>
    <m/>
    <b v="0"/>
    <s v=""/>
    <m/>
    <m/>
    <m/>
    <d v="1899-12-30T09:22:00"/>
    <d v="1899-12-30T10:57:00"/>
    <x v="7"/>
    <b v="0"/>
    <s v=""/>
    <m/>
    <m/>
    <x v="1"/>
    <x v="3"/>
    <x v="1"/>
  </r>
  <r>
    <n v="461"/>
    <x v="1"/>
    <x v="456"/>
    <x v="5"/>
    <n v="15"/>
    <x v="0"/>
    <x v="3"/>
    <s v="Mon, Thu"/>
    <s v="Mon"/>
    <s v="Thu"/>
    <m/>
    <m/>
    <m/>
    <b v="1"/>
    <s v="XCore, Yoga"/>
    <s v="XCore"/>
    <s v="Yoga"/>
    <m/>
    <d v="1899-12-30T19:07:00"/>
    <d v="1899-12-30T22:02:00"/>
    <x v="37"/>
    <b v="1"/>
    <s v="black_currant, orange"/>
    <s v="black_currant"/>
    <s v="orange"/>
    <x v="0"/>
    <x v="0"/>
    <x v="0"/>
  </r>
  <r>
    <n v="462"/>
    <x v="1"/>
    <x v="457"/>
    <x v="38"/>
    <n v="25"/>
    <x v="0"/>
    <x v="3"/>
    <s v="Thu, Tue"/>
    <s v="Thu"/>
    <s v="Tue"/>
    <m/>
    <m/>
    <m/>
    <b v="0"/>
    <s v=""/>
    <m/>
    <m/>
    <m/>
    <d v="1899-12-30T10:55:00"/>
    <d v="1899-12-30T13:51:00"/>
    <x v="100"/>
    <b v="1"/>
    <s v="lemon"/>
    <s v="lemon"/>
    <m/>
    <x v="0"/>
    <x v="0"/>
    <x v="0"/>
  </r>
  <r>
    <n v="463"/>
    <x v="0"/>
    <x v="458"/>
    <x v="23"/>
    <n v="18"/>
    <x v="1"/>
    <x v="3"/>
    <s v="Fri, Tue"/>
    <s v="Fri"/>
    <s v="Tue"/>
    <m/>
    <m/>
    <m/>
    <b v="0"/>
    <s v=""/>
    <m/>
    <m/>
    <m/>
    <d v="1899-12-30T18:15:00"/>
    <d v="1899-12-30T20:59:00"/>
    <x v="130"/>
    <b v="0"/>
    <s v=""/>
    <m/>
    <m/>
    <x v="0"/>
    <x v="0"/>
    <x v="1"/>
  </r>
  <r>
    <n v="464"/>
    <x v="0"/>
    <x v="459"/>
    <x v="13"/>
    <n v="38"/>
    <x v="0"/>
    <x v="0"/>
    <s v="Fri, Mon, Thu, Wed"/>
    <s v="Fri"/>
    <s v="Mon"/>
    <s v="Thu"/>
    <s v="Wed"/>
    <m/>
    <b v="1"/>
    <s v="BodyPump, LesMiles, HIT"/>
    <s v="BodyPump"/>
    <s v="LesMiles"/>
    <s v="HIT"/>
    <d v="1899-12-30T20:54:00"/>
    <d v="1899-12-30T22:41:00"/>
    <x v="34"/>
    <b v="0"/>
    <s v=""/>
    <m/>
    <m/>
    <x v="1"/>
    <x v="4"/>
    <x v="0"/>
  </r>
  <r>
    <n v="465"/>
    <x v="0"/>
    <x v="460"/>
    <x v="29"/>
    <n v="22"/>
    <x v="1"/>
    <x v="0"/>
    <s v="Fri, Sat, Thu, Tue"/>
    <s v="Fri"/>
    <s v="Sat"/>
    <s v="Thu"/>
    <s v="Tue"/>
    <m/>
    <b v="0"/>
    <s v=""/>
    <m/>
    <m/>
    <m/>
    <d v="1899-12-30T14:33:00"/>
    <d v="1899-12-30T15:48:00"/>
    <x v="125"/>
    <b v="1"/>
    <s v="orange"/>
    <s v="orange"/>
    <m/>
    <x v="0"/>
    <x v="0"/>
    <x v="0"/>
  </r>
  <r>
    <n v="466"/>
    <x v="0"/>
    <x v="461"/>
    <x v="3"/>
    <n v="44"/>
    <x v="0"/>
    <x v="1"/>
    <s v="Mon, Sat, Thu"/>
    <s v="Mon"/>
    <s v="Sat"/>
    <s v="Thu"/>
    <m/>
    <m/>
    <b v="0"/>
    <s v=""/>
    <m/>
    <m/>
    <m/>
    <d v="1899-12-30T17:47:00"/>
    <d v="1899-12-30T18:30:00"/>
    <x v="53"/>
    <b v="1"/>
    <s v="berry_boost"/>
    <s v="berry_boost"/>
    <m/>
    <x v="1"/>
    <x v="3"/>
    <x v="0"/>
  </r>
  <r>
    <n v="467"/>
    <x v="1"/>
    <x v="462"/>
    <x v="17"/>
    <n v="14"/>
    <x v="0"/>
    <x v="4"/>
    <s v="Sat, Sun, Thu, Tue, Wed"/>
    <s v="Sat"/>
    <s v="Sun"/>
    <s v="Thu"/>
    <s v="Tue"/>
    <s v="Wed"/>
    <b v="1"/>
    <s v="BodyBalance, Zumba"/>
    <s v="BodyBalance"/>
    <s v="Zumba"/>
    <m/>
    <d v="1899-12-30T08:25:00"/>
    <d v="1899-12-30T10:08:00"/>
    <x v="60"/>
    <b v="0"/>
    <s v=""/>
    <m/>
    <m/>
    <x v="1"/>
    <x v="2"/>
    <x v="0"/>
  </r>
  <r>
    <n v="468"/>
    <x v="0"/>
    <x v="463"/>
    <x v="2"/>
    <n v="41"/>
    <x v="0"/>
    <x v="1"/>
    <s v="Fri, Sat, Sun"/>
    <s v="Fri"/>
    <s v="Sat"/>
    <s v="Sun"/>
    <m/>
    <m/>
    <b v="0"/>
    <s v=""/>
    <m/>
    <m/>
    <m/>
    <d v="1899-12-30T09:56:00"/>
    <d v="1899-12-30T11:39:00"/>
    <x v="60"/>
    <b v="0"/>
    <s v=""/>
    <m/>
    <m/>
    <x v="1"/>
    <x v="1"/>
    <x v="0"/>
  </r>
  <r>
    <n v="469"/>
    <x v="1"/>
    <x v="464"/>
    <x v="11"/>
    <n v="34"/>
    <x v="0"/>
    <x v="3"/>
    <s v="Sat, Thu"/>
    <s v="Sat"/>
    <s v="Thu"/>
    <m/>
    <m/>
    <m/>
    <b v="1"/>
    <s v="LesMiles"/>
    <s v="LesMiles"/>
    <m/>
    <m/>
    <d v="1899-12-30T13:39:00"/>
    <d v="1899-12-30T14:34:00"/>
    <x v="138"/>
    <b v="0"/>
    <s v=""/>
    <m/>
    <m/>
    <x v="1"/>
    <x v="3"/>
    <x v="1"/>
  </r>
  <r>
    <n v="470"/>
    <x v="1"/>
    <x v="465"/>
    <x v="38"/>
    <n v="26"/>
    <x v="0"/>
    <x v="2"/>
    <s v="Fri"/>
    <s v="Fri"/>
    <m/>
    <m/>
    <m/>
    <m/>
    <b v="1"/>
    <s v="Pilates"/>
    <s v="Pilates"/>
    <m/>
    <m/>
    <d v="1899-12-30T12:45:00"/>
    <d v="1899-12-30T14:09:00"/>
    <x v="63"/>
    <b v="1"/>
    <s v="black_currant, orange"/>
    <s v="black_currant"/>
    <s v="orange"/>
    <x v="1"/>
    <x v="1"/>
    <x v="0"/>
  </r>
  <r>
    <n v="471"/>
    <x v="0"/>
    <x v="466"/>
    <x v="27"/>
    <n v="48"/>
    <x v="1"/>
    <x v="2"/>
    <s v="Fri"/>
    <s v="Fri"/>
    <m/>
    <m/>
    <m/>
    <m/>
    <b v="0"/>
    <s v=""/>
    <m/>
    <m/>
    <m/>
    <d v="1899-12-30T10:42:00"/>
    <d v="1899-12-30T11:57:00"/>
    <x v="125"/>
    <b v="1"/>
    <s v="lemon"/>
    <s v="lemon"/>
    <m/>
    <x v="1"/>
    <x v="1"/>
    <x v="0"/>
  </r>
  <r>
    <n v="472"/>
    <x v="1"/>
    <x v="467"/>
    <x v="28"/>
    <n v="45"/>
    <x v="1"/>
    <x v="2"/>
    <s v="Mon"/>
    <s v="Mon"/>
    <m/>
    <m/>
    <m/>
    <m/>
    <b v="1"/>
    <s v="Running, LesMiles"/>
    <s v="Running"/>
    <s v="LesMiles"/>
    <m/>
    <d v="1899-12-30T09:31:00"/>
    <d v="1899-12-30T10:42:00"/>
    <x v="45"/>
    <b v="1"/>
    <s v="orange, lemon"/>
    <s v="orange"/>
    <s v="lemon"/>
    <x v="0"/>
    <x v="0"/>
    <x v="0"/>
  </r>
  <r>
    <n v="473"/>
    <x v="1"/>
    <x v="468"/>
    <x v="7"/>
    <n v="20"/>
    <x v="1"/>
    <x v="0"/>
    <s v="Mon, Sat, Tue, Wed"/>
    <s v="Mon"/>
    <s v="Sat"/>
    <s v="Tue"/>
    <s v="Wed"/>
    <m/>
    <b v="1"/>
    <s v="Running, HIT"/>
    <s v="Running"/>
    <s v="HIT"/>
    <m/>
    <d v="1899-12-30T09:46:00"/>
    <d v="1899-12-30T11:55:00"/>
    <x v="141"/>
    <b v="0"/>
    <s v=""/>
    <m/>
    <m/>
    <x v="1"/>
    <x v="2"/>
    <x v="1"/>
  </r>
  <r>
    <n v="474"/>
    <x v="1"/>
    <x v="469"/>
    <x v="32"/>
    <n v="33"/>
    <x v="1"/>
    <x v="1"/>
    <s v="Sat, Sun, Wed"/>
    <s v="Sat"/>
    <s v="Sun"/>
    <s v="Wed"/>
    <m/>
    <m/>
    <b v="1"/>
    <s v="BodyBalance, Kickboxen, HIT"/>
    <s v="BodyBalance"/>
    <s v="Kickboxen"/>
    <s v="HIT"/>
    <d v="1899-12-30T16:59:00"/>
    <d v="1899-12-30T18:31:00"/>
    <x v="8"/>
    <b v="1"/>
    <s v="orange"/>
    <s v="orange"/>
    <m/>
    <x v="1"/>
    <x v="3"/>
    <x v="1"/>
  </r>
  <r>
    <n v="475"/>
    <x v="1"/>
    <x v="470"/>
    <x v="30"/>
    <n v="23"/>
    <x v="1"/>
    <x v="3"/>
    <s v="Sat, Thu"/>
    <s v="Sat"/>
    <s v="Thu"/>
    <m/>
    <m/>
    <m/>
    <b v="0"/>
    <s v=""/>
    <m/>
    <m/>
    <m/>
    <d v="1899-12-30T11:56:00"/>
    <d v="1899-12-30T13:42:00"/>
    <x v="67"/>
    <b v="0"/>
    <s v=""/>
    <m/>
    <m/>
    <x v="1"/>
    <x v="3"/>
    <x v="0"/>
  </r>
  <r>
    <n v="476"/>
    <x v="1"/>
    <x v="363"/>
    <x v="30"/>
    <n v="23"/>
    <x v="1"/>
    <x v="3"/>
    <s v="Tue, Wed"/>
    <s v="Tue"/>
    <s v="Wed"/>
    <m/>
    <m/>
    <m/>
    <b v="1"/>
    <s v="XCore, Kickboxen"/>
    <s v="XCore"/>
    <s v="Kickboxen"/>
    <m/>
    <d v="1899-12-30T17:37:00"/>
    <d v="1899-12-30T19:57:00"/>
    <x v="74"/>
    <b v="1"/>
    <s v="orange"/>
    <s v="orange"/>
    <m/>
    <x v="1"/>
    <x v="2"/>
    <x v="0"/>
  </r>
  <r>
    <n v="477"/>
    <x v="0"/>
    <x v="471"/>
    <x v="29"/>
    <n v="22"/>
    <x v="0"/>
    <x v="2"/>
    <s v="Thu"/>
    <s v="Thu"/>
    <m/>
    <m/>
    <m/>
    <m/>
    <b v="0"/>
    <s v=""/>
    <m/>
    <m/>
    <m/>
    <d v="1899-12-30T09:43:00"/>
    <d v="1899-12-30T10:37:00"/>
    <x v="55"/>
    <b v="1"/>
    <s v="berry_boost"/>
    <s v="berry_boost"/>
    <m/>
    <x v="0"/>
    <x v="0"/>
    <x v="1"/>
  </r>
  <r>
    <n v="478"/>
    <x v="0"/>
    <x v="472"/>
    <x v="4"/>
    <n v="43"/>
    <x v="1"/>
    <x v="1"/>
    <s v="Fri, Mon, Tue"/>
    <s v="Fri"/>
    <s v="Mon"/>
    <s v="Tue"/>
    <m/>
    <m/>
    <b v="0"/>
    <s v=""/>
    <m/>
    <m/>
    <m/>
    <d v="1899-12-30T11:56:00"/>
    <d v="1899-12-30T12:35:00"/>
    <x v="115"/>
    <b v="0"/>
    <s v=""/>
    <m/>
    <m/>
    <x v="1"/>
    <x v="2"/>
    <x v="0"/>
  </r>
  <r>
    <n v="479"/>
    <x v="1"/>
    <x v="473"/>
    <x v="17"/>
    <n v="14"/>
    <x v="0"/>
    <x v="3"/>
    <s v="Sun, Tue"/>
    <s v="Sun"/>
    <s v="Tue"/>
    <m/>
    <m/>
    <m/>
    <b v="0"/>
    <s v=""/>
    <m/>
    <m/>
    <m/>
    <d v="1899-12-30T12:23:00"/>
    <d v="1899-12-30T14:44:00"/>
    <x v="113"/>
    <b v="1"/>
    <s v="berry_boost"/>
    <s v="berry_boost"/>
    <m/>
    <x v="1"/>
    <x v="1"/>
    <x v="0"/>
  </r>
  <r>
    <n v="480"/>
    <x v="1"/>
    <x v="474"/>
    <x v="8"/>
    <n v="24"/>
    <x v="0"/>
    <x v="3"/>
    <s v="Sat, Tue"/>
    <s v="Sat"/>
    <s v="Tue"/>
    <m/>
    <m/>
    <m/>
    <b v="1"/>
    <s v="Zumba, LesMiles, Spinning"/>
    <s v="Zumba"/>
    <s v="LesMiles"/>
    <s v="Spinning"/>
    <d v="1899-12-30T11:46:00"/>
    <d v="1899-12-30T14:43:00"/>
    <x v="56"/>
    <b v="0"/>
    <s v=""/>
    <m/>
    <m/>
    <x v="0"/>
    <x v="0"/>
    <x v="0"/>
  </r>
  <r>
    <n v="481"/>
    <x v="0"/>
    <x v="475"/>
    <x v="28"/>
    <n v="45"/>
    <x v="1"/>
    <x v="2"/>
    <s v="Sun"/>
    <s v="Sun"/>
    <m/>
    <m/>
    <m/>
    <m/>
    <b v="0"/>
    <s v=""/>
    <m/>
    <m/>
    <m/>
    <d v="1899-12-30T20:40:00"/>
    <d v="1899-12-30T23:14:00"/>
    <x v="20"/>
    <b v="1"/>
    <s v="berry_boost"/>
    <s v="berry_boost"/>
    <m/>
    <x v="0"/>
    <x v="0"/>
    <x v="1"/>
  </r>
  <r>
    <n v="482"/>
    <x v="1"/>
    <x v="476"/>
    <x v="18"/>
    <n v="19"/>
    <x v="0"/>
    <x v="3"/>
    <s v="Fri, Tue"/>
    <s v="Fri"/>
    <s v="Tue"/>
    <m/>
    <m/>
    <m/>
    <b v="1"/>
    <s v="LesMiles"/>
    <s v="LesMiles"/>
    <m/>
    <m/>
    <d v="1899-12-30T12:50:00"/>
    <d v="1899-12-30T14:56:00"/>
    <x v="70"/>
    <b v="1"/>
    <s v="passion_fruit"/>
    <s v="passion_fruit"/>
    <m/>
    <x v="0"/>
    <x v="0"/>
    <x v="1"/>
  </r>
  <r>
    <n v="483"/>
    <x v="0"/>
    <x v="477"/>
    <x v="9"/>
    <n v="26"/>
    <x v="0"/>
    <x v="1"/>
    <s v="Fri, Thu, Wed"/>
    <s v="Fri"/>
    <s v="Thu"/>
    <s v="Wed"/>
    <m/>
    <m/>
    <b v="1"/>
    <s v="BodyBalance, XCore"/>
    <s v="BodyBalance"/>
    <s v="XCore"/>
    <m/>
    <d v="1899-12-30T18:41:00"/>
    <d v="1899-12-30T21:00:00"/>
    <x v="136"/>
    <b v="1"/>
    <s v="black_currant, coconut_pineapple"/>
    <s v="black_currant"/>
    <s v="coconut_pineapple"/>
    <x v="1"/>
    <x v="2"/>
    <x v="0"/>
  </r>
  <r>
    <n v="484"/>
    <x v="1"/>
    <x v="478"/>
    <x v="26"/>
    <n v="28"/>
    <x v="1"/>
    <x v="3"/>
    <s v="Fri, Tue"/>
    <s v="Fri"/>
    <s v="Tue"/>
    <m/>
    <m/>
    <m/>
    <b v="0"/>
    <s v=""/>
    <m/>
    <m/>
    <m/>
    <d v="1899-12-30T14:12:00"/>
    <d v="1899-12-30T15:26:00"/>
    <x v="131"/>
    <b v="1"/>
    <s v="passion_fruit, orange"/>
    <s v="passion_fruit"/>
    <s v="orange"/>
    <x v="0"/>
    <x v="0"/>
    <x v="1"/>
  </r>
  <r>
    <n v="485"/>
    <x v="1"/>
    <x v="479"/>
    <x v="28"/>
    <n v="45"/>
    <x v="1"/>
    <x v="2"/>
    <s v="Mon"/>
    <s v="Mon"/>
    <m/>
    <m/>
    <m/>
    <m/>
    <b v="1"/>
    <s v="Yoga"/>
    <s v="Yoga"/>
    <m/>
    <m/>
    <d v="1899-12-30T18:07:00"/>
    <d v="1899-12-30T19:42:00"/>
    <x v="7"/>
    <b v="0"/>
    <s v=""/>
    <m/>
    <m/>
    <x v="0"/>
    <x v="0"/>
    <x v="1"/>
  </r>
  <r>
    <n v="486"/>
    <x v="1"/>
    <x v="480"/>
    <x v="27"/>
    <n v="49"/>
    <x v="1"/>
    <x v="1"/>
    <s v="Sun, Tue, Wed"/>
    <s v="Sun"/>
    <s v="Tue"/>
    <s v="Wed"/>
    <m/>
    <m/>
    <b v="1"/>
    <s v="Pilates"/>
    <s v="Pilates"/>
    <m/>
    <m/>
    <d v="1899-12-30T17:10:00"/>
    <d v="1899-12-30T18:03:00"/>
    <x v="69"/>
    <b v="1"/>
    <s v="orange, coconut_pineapple"/>
    <s v="orange"/>
    <s v="coconut_pineapple"/>
    <x v="1"/>
    <x v="2"/>
    <x v="0"/>
  </r>
  <r>
    <n v="487"/>
    <x v="0"/>
    <x v="481"/>
    <x v="9"/>
    <n v="26"/>
    <x v="1"/>
    <x v="3"/>
    <s v="Sat, Wed"/>
    <s v="Sat"/>
    <s v="Wed"/>
    <m/>
    <m/>
    <m/>
    <b v="1"/>
    <s v="BodyBalance, LesMiles, BodyPump"/>
    <s v="BodyBalance"/>
    <s v="LesMiles"/>
    <s v="BodyPump"/>
    <d v="1899-12-30T15:44:00"/>
    <d v="1899-12-30T18:17:00"/>
    <x v="117"/>
    <b v="0"/>
    <s v=""/>
    <m/>
    <m/>
    <x v="1"/>
    <x v="1"/>
    <x v="0"/>
  </r>
  <r>
    <n v="488"/>
    <x v="1"/>
    <x v="482"/>
    <x v="4"/>
    <n v="43"/>
    <x v="0"/>
    <x v="4"/>
    <s v="Fri, Mon, Sat, Thu, Wed"/>
    <s v="Fri"/>
    <s v="Mon"/>
    <s v="Sat"/>
    <s v="Thu"/>
    <s v="Wed"/>
    <b v="0"/>
    <s v=""/>
    <m/>
    <m/>
    <m/>
    <d v="1899-12-30T17:52:00"/>
    <d v="1899-12-30T20:52:00"/>
    <x v="5"/>
    <b v="0"/>
    <s v=""/>
    <m/>
    <m/>
    <x v="1"/>
    <x v="2"/>
    <x v="1"/>
  </r>
  <r>
    <n v="489"/>
    <x v="1"/>
    <x v="483"/>
    <x v="16"/>
    <n v="33"/>
    <x v="0"/>
    <x v="3"/>
    <s v="Sun, Tue"/>
    <s v="Sun"/>
    <s v="Tue"/>
    <m/>
    <m/>
    <m/>
    <b v="0"/>
    <s v=""/>
    <m/>
    <m/>
    <m/>
    <d v="1899-12-30T12:42:00"/>
    <d v="1899-12-30T15:01:00"/>
    <x v="136"/>
    <b v="1"/>
    <s v="berry_boost"/>
    <s v="berry_boost"/>
    <m/>
    <x v="1"/>
    <x v="2"/>
    <x v="1"/>
  </r>
  <r>
    <n v="490"/>
    <x v="0"/>
    <x v="484"/>
    <x v="26"/>
    <n v="28"/>
    <x v="1"/>
    <x v="1"/>
    <s v="Fri, Sun, Tue"/>
    <s v="Fri"/>
    <s v="Sun"/>
    <s v="Tue"/>
    <m/>
    <m/>
    <b v="0"/>
    <s v=""/>
    <m/>
    <m/>
    <m/>
    <d v="1899-12-30T09:55:00"/>
    <d v="1899-12-30T10:55:00"/>
    <x v="127"/>
    <b v="0"/>
    <s v=""/>
    <m/>
    <m/>
    <x v="1"/>
    <x v="1"/>
    <x v="1"/>
  </r>
  <r>
    <n v="491"/>
    <x v="0"/>
    <x v="485"/>
    <x v="36"/>
    <n v="49"/>
    <x v="0"/>
    <x v="2"/>
    <s v="Fri"/>
    <s v="Fri"/>
    <m/>
    <m/>
    <m/>
    <m/>
    <b v="1"/>
    <s v="Running"/>
    <s v="Running"/>
    <m/>
    <m/>
    <d v="1899-12-30T08:06:00"/>
    <d v="1899-12-30T10:41:00"/>
    <x v="142"/>
    <b v="0"/>
    <s v=""/>
    <m/>
    <m/>
    <x v="1"/>
    <x v="3"/>
    <x v="1"/>
  </r>
  <r>
    <n v="492"/>
    <x v="1"/>
    <x v="486"/>
    <x v="24"/>
    <n v="16"/>
    <x v="1"/>
    <x v="3"/>
    <s v="Fri, Thu"/>
    <s v="Fri"/>
    <s v="Thu"/>
    <m/>
    <m/>
    <m/>
    <b v="0"/>
    <s v=""/>
    <m/>
    <m/>
    <m/>
    <d v="1899-12-30T11:43:00"/>
    <d v="1899-12-30T12:52:00"/>
    <x v="43"/>
    <b v="0"/>
    <s v=""/>
    <m/>
    <m/>
    <x v="0"/>
    <x v="0"/>
    <x v="0"/>
  </r>
  <r>
    <n v="493"/>
    <x v="0"/>
    <x v="487"/>
    <x v="33"/>
    <n v="39"/>
    <x v="1"/>
    <x v="3"/>
    <s v="Tue, Wed"/>
    <s v="Tue"/>
    <s v="Wed"/>
    <m/>
    <m/>
    <m/>
    <b v="1"/>
    <s v="Yoga, BodyPump"/>
    <s v="Yoga"/>
    <s v="BodyPump"/>
    <m/>
    <d v="1899-12-30T15:14:00"/>
    <d v="1899-12-30T17:39:00"/>
    <x v="14"/>
    <b v="1"/>
    <s v="black_currant"/>
    <s v="black_currant"/>
    <m/>
    <x v="0"/>
    <x v="0"/>
    <x v="1"/>
  </r>
  <r>
    <n v="494"/>
    <x v="0"/>
    <x v="488"/>
    <x v="35"/>
    <n v="12"/>
    <x v="1"/>
    <x v="1"/>
    <s v="Sat, Thu, Wed"/>
    <s v="Sat"/>
    <s v="Thu"/>
    <s v="Wed"/>
    <m/>
    <m/>
    <b v="1"/>
    <s v="BodyPump"/>
    <s v="BodyPump"/>
    <m/>
    <m/>
    <d v="1899-12-30T11:50:00"/>
    <d v="1899-12-30T13:43:00"/>
    <x v="135"/>
    <b v="1"/>
    <s v="passion_fruit, orange"/>
    <s v="passion_fruit"/>
    <s v="orange"/>
    <x v="0"/>
    <x v="0"/>
    <x v="0"/>
  </r>
  <r>
    <n v="495"/>
    <x v="1"/>
    <x v="489"/>
    <x v="22"/>
    <n v="40"/>
    <x v="1"/>
    <x v="1"/>
    <s v="Mon, Sat, Tue"/>
    <s v="Mon"/>
    <s v="Sat"/>
    <s v="Tue"/>
    <m/>
    <m/>
    <b v="0"/>
    <s v=""/>
    <m/>
    <m/>
    <m/>
    <d v="1899-12-30T08:41:00"/>
    <d v="1899-12-30T09:35:00"/>
    <x v="55"/>
    <b v="1"/>
    <s v="passion_fruit, lemon"/>
    <s v="passion_fruit"/>
    <s v="lemon"/>
    <x v="0"/>
    <x v="0"/>
    <x v="0"/>
  </r>
  <r>
    <n v="496"/>
    <x v="1"/>
    <x v="490"/>
    <x v="3"/>
    <n v="44"/>
    <x v="0"/>
    <x v="2"/>
    <s v="Sun"/>
    <s v="Sun"/>
    <m/>
    <m/>
    <m/>
    <m/>
    <b v="0"/>
    <s v=""/>
    <m/>
    <m/>
    <m/>
    <d v="1899-12-30T15:34:00"/>
    <d v="1899-12-30T16:41:00"/>
    <x v="82"/>
    <b v="1"/>
    <s v="coconut_pineapple"/>
    <s v="coconut_pineapple"/>
    <m/>
    <x v="1"/>
    <x v="3"/>
    <x v="1"/>
  </r>
  <r>
    <n v="497"/>
    <x v="0"/>
    <x v="491"/>
    <x v="37"/>
    <n v="12"/>
    <x v="0"/>
    <x v="3"/>
    <s v="Sat, Sun"/>
    <s v="Sat"/>
    <s v="Sun"/>
    <m/>
    <m/>
    <m/>
    <b v="0"/>
    <s v=""/>
    <m/>
    <m/>
    <m/>
    <d v="1899-12-30T08:05:00"/>
    <d v="1899-12-30T10:14:00"/>
    <x v="141"/>
    <b v="0"/>
    <s v=""/>
    <m/>
    <m/>
    <x v="0"/>
    <x v="0"/>
    <x v="1"/>
  </r>
  <r>
    <n v="498"/>
    <x v="1"/>
    <x v="492"/>
    <x v="4"/>
    <n v="43"/>
    <x v="0"/>
    <x v="0"/>
    <s v="Mon, Sat, Tue, Wed"/>
    <s v="Mon"/>
    <s v="Sat"/>
    <s v="Tue"/>
    <s v="Wed"/>
    <m/>
    <b v="1"/>
    <s v="BodyBalance, Spinning, XCore"/>
    <s v="BodyBalance"/>
    <s v="Spinning"/>
    <s v="XCore"/>
    <d v="1899-12-30T10:38:00"/>
    <d v="1899-12-30T11:41:00"/>
    <x v="143"/>
    <b v="1"/>
    <s v="orange"/>
    <s v="orange"/>
    <m/>
    <x v="1"/>
    <x v="3"/>
    <x v="0"/>
  </r>
  <r>
    <n v="499"/>
    <x v="0"/>
    <x v="493"/>
    <x v="26"/>
    <n v="29"/>
    <x v="0"/>
    <x v="1"/>
    <s v="Mon, Sat, Thu"/>
    <s v="Mon"/>
    <s v="Sat"/>
    <s v="Thu"/>
    <m/>
    <m/>
    <b v="1"/>
    <s v="XCore, Running, BodyBalance"/>
    <s v="XCore"/>
    <s v="Running"/>
    <s v="BodyBalance"/>
    <d v="1899-12-30T20:43:00"/>
    <d v="1899-12-30T21:23:00"/>
    <x v="77"/>
    <b v="1"/>
    <s v="berry_boost"/>
    <s v="berry_boost"/>
    <m/>
    <x v="0"/>
    <x v="0"/>
    <x v="1"/>
  </r>
  <r>
    <n v="500"/>
    <x v="1"/>
    <x v="494"/>
    <x v="23"/>
    <n v="19"/>
    <x v="1"/>
    <x v="1"/>
    <s v="Mon, Sun, Wed"/>
    <s v="Mon"/>
    <s v="Sun"/>
    <s v="Wed"/>
    <m/>
    <m/>
    <b v="0"/>
    <s v=""/>
    <m/>
    <m/>
    <m/>
    <d v="1899-12-30T14:34:00"/>
    <d v="1899-12-30T15:34:00"/>
    <x v="127"/>
    <b v="1"/>
    <s v="coconut_pineapple, lemon"/>
    <s v="coconut_pineapple"/>
    <s v="lemon"/>
    <x v="0"/>
    <x v="0"/>
    <x v="0"/>
  </r>
  <r>
    <n v="501"/>
    <x v="1"/>
    <x v="495"/>
    <x v="18"/>
    <n v="19"/>
    <x v="0"/>
    <x v="3"/>
    <s v="Sun, Tue"/>
    <s v="Sun"/>
    <s v="Tue"/>
    <m/>
    <m/>
    <m/>
    <b v="1"/>
    <s v="Pilates, Zumba, Spinning"/>
    <s v="Pilates"/>
    <s v="Zumba"/>
    <s v="Spinning"/>
    <d v="1899-12-30T19:22:00"/>
    <d v="1899-12-30T20:25:00"/>
    <x v="143"/>
    <b v="0"/>
    <s v=""/>
    <m/>
    <m/>
    <x v="0"/>
    <x v="0"/>
    <x v="1"/>
  </r>
  <r>
    <n v="502"/>
    <x v="1"/>
    <x v="496"/>
    <x v="14"/>
    <n v="13"/>
    <x v="0"/>
    <x v="2"/>
    <s v="Fri"/>
    <s v="Fri"/>
    <m/>
    <m/>
    <m/>
    <m/>
    <b v="0"/>
    <s v=""/>
    <m/>
    <m/>
    <m/>
    <d v="1899-12-30T16:10:00"/>
    <d v="1899-12-30T16:40:00"/>
    <x v="46"/>
    <b v="1"/>
    <s v="lemon"/>
    <s v="lemon"/>
    <m/>
    <x v="0"/>
    <x v="0"/>
    <x v="1"/>
  </r>
  <r>
    <n v="503"/>
    <x v="0"/>
    <x v="497"/>
    <x v="24"/>
    <n v="16"/>
    <x v="1"/>
    <x v="1"/>
    <s v="Mon, Sat, Thu"/>
    <s v="Mon"/>
    <s v="Sat"/>
    <s v="Thu"/>
    <m/>
    <m/>
    <b v="0"/>
    <s v=""/>
    <m/>
    <m/>
    <m/>
    <d v="1899-12-30T15:10:00"/>
    <d v="1899-12-30T16:06:00"/>
    <x v="81"/>
    <b v="0"/>
    <s v=""/>
    <m/>
    <m/>
    <x v="1"/>
    <x v="1"/>
    <x v="1"/>
  </r>
  <r>
    <n v="504"/>
    <x v="0"/>
    <x v="498"/>
    <x v="30"/>
    <n v="23"/>
    <x v="1"/>
    <x v="1"/>
    <s v="Sat, Tue, Wed"/>
    <s v="Sat"/>
    <s v="Tue"/>
    <s v="Wed"/>
    <m/>
    <m/>
    <b v="1"/>
    <s v="HIT, BodyBalance"/>
    <s v="HIT"/>
    <s v="BodyBalance"/>
    <m/>
    <d v="1899-12-30T12:33:00"/>
    <d v="1899-12-30T14:41:00"/>
    <x v="119"/>
    <b v="0"/>
    <s v=""/>
    <m/>
    <m/>
    <x v="0"/>
    <x v="0"/>
    <x v="1"/>
  </r>
  <r>
    <n v="505"/>
    <x v="1"/>
    <x v="499"/>
    <x v="10"/>
    <n v="35"/>
    <x v="1"/>
    <x v="2"/>
    <s v="Tue"/>
    <s v="Tue"/>
    <m/>
    <m/>
    <m/>
    <m/>
    <b v="0"/>
    <s v=""/>
    <m/>
    <m/>
    <m/>
    <d v="1899-12-30T16:19:00"/>
    <d v="1899-12-30T19:13:00"/>
    <x v="90"/>
    <b v="1"/>
    <s v="berry_boost"/>
    <s v="berry_boost"/>
    <m/>
    <x v="0"/>
    <x v="0"/>
    <x v="1"/>
  </r>
  <r>
    <n v="506"/>
    <x v="0"/>
    <x v="500"/>
    <x v="0"/>
    <n v="27"/>
    <x v="0"/>
    <x v="3"/>
    <s v="Tue, Wed"/>
    <s v="Tue"/>
    <s v="Wed"/>
    <m/>
    <m/>
    <m/>
    <b v="0"/>
    <s v=""/>
    <m/>
    <m/>
    <m/>
    <d v="1899-12-30T18:28:00"/>
    <d v="1899-12-30T20:20:00"/>
    <x v="22"/>
    <b v="1"/>
    <s v="coconut_pineapple"/>
    <s v="coconut_pineapple"/>
    <m/>
    <x v="0"/>
    <x v="0"/>
    <x v="1"/>
  </r>
  <r>
    <n v="507"/>
    <x v="0"/>
    <x v="501"/>
    <x v="21"/>
    <n v="47"/>
    <x v="0"/>
    <x v="3"/>
    <s v="Sun, Tue"/>
    <s v="Sun"/>
    <s v="Tue"/>
    <m/>
    <m/>
    <m/>
    <b v="1"/>
    <s v="LesMiles, BodyBalance"/>
    <s v="LesMiles"/>
    <s v="BodyBalance"/>
    <m/>
    <d v="1899-12-30T15:09:00"/>
    <d v="1899-12-30T16:18:00"/>
    <x v="43"/>
    <b v="1"/>
    <s v="berry_boost, black_currant"/>
    <s v="berry_boost"/>
    <s v="black_currant"/>
    <x v="1"/>
    <x v="1"/>
    <x v="0"/>
  </r>
  <r>
    <n v="508"/>
    <x v="1"/>
    <x v="502"/>
    <x v="3"/>
    <n v="45"/>
    <x v="1"/>
    <x v="2"/>
    <s v="Mon"/>
    <s v="Mon"/>
    <m/>
    <m/>
    <m/>
    <m/>
    <b v="0"/>
    <s v=""/>
    <m/>
    <m/>
    <m/>
    <d v="1899-12-30T19:23:00"/>
    <d v="1899-12-30T20:50:00"/>
    <x v="38"/>
    <b v="0"/>
    <s v=""/>
    <m/>
    <m/>
    <x v="1"/>
    <x v="3"/>
    <x v="0"/>
  </r>
  <r>
    <n v="509"/>
    <x v="0"/>
    <x v="503"/>
    <x v="0"/>
    <n v="27"/>
    <x v="0"/>
    <x v="2"/>
    <s v="Thu"/>
    <s v="Thu"/>
    <m/>
    <m/>
    <m/>
    <m/>
    <b v="0"/>
    <s v=""/>
    <m/>
    <m/>
    <m/>
    <d v="1899-12-30T14:17:00"/>
    <d v="1899-12-30T15:42:00"/>
    <x v="87"/>
    <b v="0"/>
    <s v=""/>
    <m/>
    <m/>
    <x v="0"/>
    <x v="0"/>
    <x v="1"/>
  </r>
  <r>
    <n v="510"/>
    <x v="1"/>
    <x v="504"/>
    <x v="18"/>
    <n v="19"/>
    <x v="1"/>
    <x v="1"/>
    <s v="Sun, Tue, Wed"/>
    <s v="Sun"/>
    <s v="Tue"/>
    <s v="Wed"/>
    <m/>
    <m/>
    <b v="1"/>
    <s v="LesMiles, Kickboxen, Yoga"/>
    <s v="LesMiles"/>
    <s v="Kickboxen"/>
    <s v="Yoga"/>
    <d v="1899-12-30T12:56:00"/>
    <d v="1899-12-30T15:52:00"/>
    <x v="100"/>
    <b v="0"/>
    <s v=""/>
    <m/>
    <m/>
    <x v="1"/>
    <x v="3"/>
    <x v="1"/>
  </r>
  <r>
    <n v="511"/>
    <x v="1"/>
    <x v="505"/>
    <x v="12"/>
    <n v="36"/>
    <x v="1"/>
    <x v="2"/>
    <s v="Sat"/>
    <s v="Sat"/>
    <m/>
    <m/>
    <m/>
    <m/>
    <b v="1"/>
    <s v="XCore"/>
    <s v="XCore"/>
    <m/>
    <m/>
    <d v="1899-12-30T11:56:00"/>
    <d v="1899-12-30T12:58:00"/>
    <x v="6"/>
    <b v="1"/>
    <s v="lemon, passion_fruit"/>
    <s v="lemon"/>
    <s v="passion_fruit"/>
    <x v="1"/>
    <x v="2"/>
    <x v="0"/>
  </r>
  <r>
    <n v="512"/>
    <x v="1"/>
    <x v="506"/>
    <x v="30"/>
    <n v="23"/>
    <x v="1"/>
    <x v="1"/>
    <s v="Sun, Tue, Wed"/>
    <s v="Sun"/>
    <s v="Tue"/>
    <s v="Wed"/>
    <m/>
    <m/>
    <b v="1"/>
    <s v="XCore, Spinning, Pilates"/>
    <s v="XCore"/>
    <s v="Spinning"/>
    <s v="Pilates"/>
    <d v="1899-12-30T19:02:00"/>
    <d v="1899-12-30T21:09:00"/>
    <x v="144"/>
    <b v="0"/>
    <s v=""/>
    <m/>
    <m/>
    <x v="0"/>
    <x v="0"/>
    <x v="1"/>
  </r>
  <r>
    <n v="513"/>
    <x v="1"/>
    <x v="507"/>
    <x v="38"/>
    <n v="25"/>
    <x v="0"/>
    <x v="2"/>
    <s v="Sat"/>
    <s v="Sat"/>
    <m/>
    <m/>
    <m/>
    <m/>
    <b v="1"/>
    <s v="Kickboxen, Running"/>
    <s v="Kickboxen"/>
    <s v="Running"/>
    <m/>
    <d v="1899-12-30T14:30:00"/>
    <d v="1899-12-30T15:03:00"/>
    <x v="11"/>
    <b v="1"/>
    <s v="orange"/>
    <s v="orange"/>
    <m/>
    <x v="1"/>
    <x v="4"/>
    <x v="1"/>
  </r>
  <r>
    <n v="514"/>
    <x v="0"/>
    <x v="508"/>
    <x v="30"/>
    <n v="23"/>
    <x v="1"/>
    <x v="1"/>
    <s v="Fri, Mon, Wed"/>
    <s v="Fri"/>
    <s v="Mon"/>
    <s v="Wed"/>
    <m/>
    <m/>
    <b v="1"/>
    <s v="Zumba, XCore"/>
    <s v="Zumba"/>
    <s v="XCore"/>
    <m/>
    <d v="1899-12-30T12:43:00"/>
    <d v="1899-12-30T13:13:00"/>
    <x v="46"/>
    <b v="1"/>
    <s v="passion_fruit"/>
    <s v="passion_fruit"/>
    <m/>
    <x v="0"/>
    <x v="0"/>
    <x v="1"/>
  </r>
  <r>
    <n v="515"/>
    <x v="0"/>
    <x v="509"/>
    <x v="19"/>
    <n v="21"/>
    <x v="1"/>
    <x v="2"/>
    <s v="Mon"/>
    <s v="Mon"/>
    <m/>
    <m/>
    <m/>
    <m/>
    <b v="0"/>
    <s v=""/>
    <m/>
    <m/>
    <m/>
    <d v="1899-12-30T08:29:00"/>
    <d v="1899-12-30T09:53:00"/>
    <x v="63"/>
    <b v="1"/>
    <s v="passion_fruit"/>
    <s v="passion_fruit"/>
    <m/>
    <x v="0"/>
    <x v="0"/>
    <x v="1"/>
  </r>
  <r>
    <n v="516"/>
    <x v="0"/>
    <x v="510"/>
    <x v="27"/>
    <n v="48"/>
    <x v="0"/>
    <x v="2"/>
    <s v="Wed"/>
    <s v="Wed"/>
    <m/>
    <m/>
    <m/>
    <m/>
    <b v="1"/>
    <s v="Yoga"/>
    <s v="Yoga"/>
    <m/>
    <m/>
    <d v="1899-12-30T14:44:00"/>
    <d v="1899-12-30T17:01:00"/>
    <x v="40"/>
    <b v="0"/>
    <s v=""/>
    <m/>
    <m/>
    <x v="1"/>
    <x v="1"/>
    <x v="1"/>
  </r>
  <r>
    <n v="517"/>
    <x v="1"/>
    <x v="318"/>
    <x v="9"/>
    <n v="26"/>
    <x v="1"/>
    <x v="0"/>
    <s v="Mon, Thu, Tue, Wed"/>
    <s v="Mon"/>
    <s v="Thu"/>
    <s v="Tue"/>
    <s v="Wed"/>
    <m/>
    <b v="0"/>
    <s v=""/>
    <m/>
    <m/>
    <m/>
    <d v="1899-12-30T08:44:00"/>
    <d v="1899-12-30T11:11:00"/>
    <x v="51"/>
    <b v="1"/>
    <s v="black_currant"/>
    <s v="black_currant"/>
    <m/>
    <x v="0"/>
    <x v="0"/>
    <x v="1"/>
  </r>
  <r>
    <n v="518"/>
    <x v="1"/>
    <x v="511"/>
    <x v="31"/>
    <n v="17"/>
    <x v="1"/>
    <x v="3"/>
    <s v="Fri, Wed"/>
    <s v="Fri"/>
    <s v="Wed"/>
    <m/>
    <m/>
    <m/>
    <b v="1"/>
    <s v="BodyPump, XCore"/>
    <s v="BodyPump"/>
    <s v="XCore"/>
    <m/>
    <d v="1899-12-30T08:24:00"/>
    <d v="1899-12-30T09:57:00"/>
    <x v="41"/>
    <b v="0"/>
    <s v=""/>
    <m/>
    <m/>
    <x v="0"/>
    <x v="0"/>
    <x v="1"/>
  </r>
  <r>
    <n v="519"/>
    <x v="1"/>
    <x v="512"/>
    <x v="14"/>
    <n v="13"/>
    <x v="1"/>
    <x v="3"/>
    <s v="Sun, Tue"/>
    <s v="Sun"/>
    <s v="Tue"/>
    <m/>
    <m/>
    <m/>
    <b v="1"/>
    <s v="XCore"/>
    <s v="XCore"/>
    <m/>
    <m/>
    <d v="1899-12-30T10:34:00"/>
    <d v="1899-12-30T12:49:00"/>
    <x v="33"/>
    <b v="1"/>
    <s v="orange, coconut_pineapple"/>
    <s v="orange"/>
    <s v="coconut_pineapple"/>
    <x v="0"/>
    <x v="0"/>
    <x v="1"/>
  </r>
  <r>
    <n v="520"/>
    <x v="0"/>
    <x v="513"/>
    <x v="16"/>
    <n v="33"/>
    <x v="1"/>
    <x v="1"/>
    <s v="Mon, Sat, Thu"/>
    <s v="Mon"/>
    <s v="Sat"/>
    <s v="Thu"/>
    <m/>
    <m/>
    <b v="0"/>
    <s v=""/>
    <m/>
    <m/>
    <m/>
    <d v="1899-12-30T19:30:00"/>
    <d v="1899-12-30T21:59:00"/>
    <x v="18"/>
    <b v="1"/>
    <s v="berry_boost, orange"/>
    <s v="berry_boost"/>
    <s v="orange"/>
    <x v="0"/>
    <x v="0"/>
    <x v="0"/>
  </r>
  <r>
    <n v="521"/>
    <x v="0"/>
    <x v="514"/>
    <x v="34"/>
    <n v="31"/>
    <x v="0"/>
    <x v="0"/>
    <s v="Fri, Mon, Tue, Wed"/>
    <s v="Fri"/>
    <s v="Mon"/>
    <s v="Tue"/>
    <s v="Wed"/>
    <m/>
    <b v="0"/>
    <s v=""/>
    <m/>
    <m/>
    <m/>
    <d v="1899-12-30T20:33:00"/>
    <d v="1899-12-30T22:56:00"/>
    <x v="83"/>
    <b v="1"/>
    <s v="passion_fruit"/>
    <s v="passion_fruit"/>
    <m/>
    <x v="0"/>
    <x v="0"/>
    <x v="1"/>
  </r>
  <r>
    <n v="522"/>
    <x v="0"/>
    <x v="515"/>
    <x v="8"/>
    <n v="24"/>
    <x v="1"/>
    <x v="3"/>
    <s v="Mon, Thu"/>
    <s v="Mon"/>
    <s v="Thu"/>
    <m/>
    <m/>
    <m/>
    <b v="1"/>
    <s v="Zumba"/>
    <s v="Zumba"/>
    <m/>
    <m/>
    <d v="1899-12-30T20:25:00"/>
    <d v="1899-12-30T20:55:00"/>
    <x v="46"/>
    <b v="0"/>
    <s v=""/>
    <m/>
    <m/>
    <x v="0"/>
    <x v="0"/>
    <x v="0"/>
  </r>
  <r>
    <n v="523"/>
    <x v="0"/>
    <x v="516"/>
    <x v="6"/>
    <n v="30"/>
    <x v="0"/>
    <x v="2"/>
    <s v="Fri"/>
    <s v="Fri"/>
    <m/>
    <m/>
    <m/>
    <m/>
    <b v="0"/>
    <s v=""/>
    <m/>
    <m/>
    <m/>
    <d v="1899-12-30T17:59:00"/>
    <d v="1899-12-30T20:47:00"/>
    <x v="104"/>
    <b v="0"/>
    <s v=""/>
    <m/>
    <m/>
    <x v="1"/>
    <x v="1"/>
    <x v="0"/>
  </r>
  <r>
    <n v="524"/>
    <x v="0"/>
    <x v="517"/>
    <x v="5"/>
    <n v="15"/>
    <x v="1"/>
    <x v="3"/>
    <s v="Fri, Sun"/>
    <s v="Fri"/>
    <s v="Sun"/>
    <m/>
    <m/>
    <m/>
    <b v="1"/>
    <s v="XCore"/>
    <s v="XCore"/>
    <m/>
    <m/>
    <d v="1899-12-30T14:20:00"/>
    <d v="1899-12-30T17:01:00"/>
    <x v="15"/>
    <b v="0"/>
    <s v=""/>
    <m/>
    <m/>
    <x v="0"/>
    <x v="0"/>
    <x v="1"/>
  </r>
  <r>
    <n v="525"/>
    <x v="0"/>
    <x v="518"/>
    <x v="0"/>
    <n v="27"/>
    <x v="0"/>
    <x v="4"/>
    <s v="Fri, Mon, Sun, Tue, Wed"/>
    <s v="Fri"/>
    <s v="Mon"/>
    <s v="Sun"/>
    <s v="Tue"/>
    <s v="Wed"/>
    <b v="0"/>
    <s v=""/>
    <m/>
    <m/>
    <m/>
    <d v="1899-12-30T18:22:00"/>
    <d v="1899-12-30T19:04:00"/>
    <x v="75"/>
    <b v="0"/>
    <s v=""/>
    <m/>
    <m/>
    <x v="0"/>
    <x v="0"/>
    <x v="1"/>
  </r>
  <r>
    <n v="526"/>
    <x v="1"/>
    <x v="519"/>
    <x v="24"/>
    <n v="16"/>
    <x v="1"/>
    <x v="0"/>
    <s v="Mon, Sat, Sun, Thu"/>
    <s v="Mon"/>
    <s v="Sat"/>
    <s v="Sun"/>
    <s v="Thu"/>
    <m/>
    <b v="1"/>
    <s v="Zumba, Running, Spinning"/>
    <s v="Zumba"/>
    <s v="Running"/>
    <s v="Spinning"/>
    <d v="1899-12-30T13:43:00"/>
    <d v="1899-12-30T14:14:00"/>
    <x v="111"/>
    <b v="1"/>
    <s v="passion_fruit"/>
    <s v="passion_fruit"/>
    <m/>
    <x v="1"/>
    <x v="2"/>
    <x v="1"/>
  </r>
  <r>
    <n v="527"/>
    <x v="0"/>
    <x v="520"/>
    <x v="11"/>
    <n v="34"/>
    <x v="0"/>
    <x v="1"/>
    <s v="Mon, Tue, Wed"/>
    <s v="Mon"/>
    <s v="Tue"/>
    <s v="Wed"/>
    <m/>
    <m/>
    <b v="0"/>
    <s v=""/>
    <m/>
    <m/>
    <m/>
    <d v="1899-12-30T11:15:00"/>
    <d v="1899-12-30T13:24:00"/>
    <x v="141"/>
    <b v="1"/>
    <s v="passion_fruit"/>
    <s v="passion_fruit"/>
    <m/>
    <x v="1"/>
    <x v="1"/>
    <x v="0"/>
  </r>
  <r>
    <n v="528"/>
    <x v="0"/>
    <x v="521"/>
    <x v="9"/>
    <n v="26"/>
    <x v="1"/>
    <x v="1"/>
    <s v="Sat, Thu, Wed"/>
    <s v="Sat"/>
    <s v="Thu"/>
    <s v="Wed"/>
    <m/>
    <m/>
    <b v="1"/>
    <s v="BodyBalance"/>
    <s v="BodyBalance"/>
    <m/>
    <m/>
    <d v="1899-12-30T08:27:00"/>
    <d v="1899-12-30T10:39:00"/>
    <x v="121"/>
    <b v="1"/>
    <s v="berry_boost"/>
    <s v="berry_boost"/>
    <m/>
    <x v="0"/>
    <x v="0"/>
    <x v="0"/>
  </r>
  <r>
    <n v="529"/>
    <x v="1"/>
    <x v="522"/>
    <x v="18"/>
    <n v="20"/>
    <x v="0"/>
    <x v="3"/>
    <s v="Mon, Wed"/>
    <s v="Mon"/>
    <s v="Wed"/>
    <m/>
    <m/>
    <m/>
    <b v="0"/>
    <s v=""/>
    <m/>
    <m/>
    <m/>
    <d v="1899-12-30T08:50:00"/>
    <d v="1899-12-30T10:13:00"/>
    <x v="88"/>
    <b v="0"/>
    <s v=""/>
    <m/>
    <m/>
    <x v="0"/>
    <x v="0"/>
    <x v="1"/>
  </r>
  <r>
    <n v="530"/>
    <x v="0"/>
    <x v="523"/>
    <x v="28"/>
    <n v="45"/>
    <x v="0"/>
    <x v="1"/>
    <s v="Fri, Sat, Tue"/>
    <s v="Fri"/>
    <s v="Sat"/>
    <s v="Tue"/>
    <m/>
    <m/>
    <b v="1"/>
    <s v="Kickboxen, BodyPump"/>
    <s v="Kickboxen"/>
    <s v="BodyPump"/>
    <m/>
    <d v="1899-12-30T19:59:00"/>
    <d v="1899-12-30T20:57:00"/>
    <x v="35"/>
    <b v="1"/>
    <s v="coconut_pineapple, orange"/>
    <s v="coconut_pineapple"/>
    <s v="orange"/>
    <x v="0"/>
    <x v="0"/>
    <x v="0"/>
  </r>
  <r>
    <n v="531"/>
    <x v="1"/>
    <x v="524"/>
    <x v="34"/>
    <n v="31"/>
    <x v="0"/>
    <x v="3"/>
    <s v="Fri, Tue"/>
    <s v="Fri"/>
    <s v="Tue"/>
    <m/>
    <m/>
    <m/>
    <b v="1"/>
    <s v="Kickboxen"/>
    <s v="Kickboxen"/>
    <m/>
    <m/>
    <d v="1899-12-30T14:51:00"/>
    <d v="1899-12-30T17:44:00"/>
    <x v="65"/>
    <b v="0"/>
    <s v=""/>
    <m/>
    <m/>
    <x v="1"/>
    <x v="2"/>
    <x v="0"/>
  </r>
  <r>
    <n v="532"/>
    <x v="1"/>
    <x v="525"/>
    <x v="21"/>
    <n v="48"/>
    <x v="0"/>
    <x v="0"/>
    <s v="Mon, Sun, Thu, Tue"/>
    <s v="Mon"/>
    <s v="Sun"/>
    <s v="Thu"/>
    <s v="Tue"/>
    <m/>
    <b v="1"/>
    <s v="BodyPump"/>
    <s v="BodyPump"/>
    <m/>
    <m/>
    <d v="1899-12-30T16:04:00"/>
    <d v="1899-12-30T18:33:00"/>
    <x v="18"/>
    <b v="0"/>
    <s v=""/>
    <m/>
    <m/>
    <x v="1"/>
    <x v="1"/>
    <x v="1"/>
  </r>
  <r>
    <n v="533"/>
    <x v="0"/>
    <x v="526"/>
    <x v="33"/>
    <n v="39"/>
    <x v="0"/>
    <x v="0"/>
    <s v="Mon, Thu, Tue, Wed"/>
    <s v="Mon"/>
    <s v="Thu"/>
    <s v="Tue"/>
    <s v="Wed"/>
    <m/>
    <b v="0"/>
    <s v=""/>
    <m/>
    <m/>
    <m/>
    <d v="1899-12-30T18:58:00"/>
    <d v="1899-12-30T20:43:00"/>
    <x v="94"/>
    <b v="0"/>
    <s v=""/>
    <m/>
    <m/>
    <x v="0"/>
    <x v="0"/>
    <x v="1"/>
  </r>
  <r>
    <n v="534"/>
    <x v="1"/>
    <x v="527"/>
    <x v="26"/>
    <n v="28"/>
    <x v="1"/>
    <x v="4"/>
    <s v="Fri, Mon, Sat, Tue, Wed"/>
    <s v="Fri"/>
    <s v="Mon"/>
    <s v="Sat"/>
    <s v="Tue"/>
    <s v="Wed"/>
    <b v="0"/>
    <s v=""/>
    <m/>
    <m/>
    <m/>
    <d v="1899-12-30T14:53:00"/>
    <d v="1899-12-30T16:53:00"/>
    <x v="116"/>
    <b v="1"/>
    <s v="lemon"/>
    <s v="lemon"/>
    <m/>
    <x v="0"/>
    <x v="0"/>
    <x v="1"/>
  </r>
  <r>
    <n v="535"/>
    <x v="1"/>
    <x v="528"/>
    <x v="31"/>
    <n v="18"/>
    <x v="0"/>
    <x v="1"/>
    <s v="Mon, Sat, Tue"/>
    <s v="Mon"/>
    <s v="Sat"/>
    <s v="Tue"/>
    <m/>
    <m/>
    <b v="1"/>
    <s v="BodyPump, HIT"/>
    <s v="BodyPump"/>
    <s v="HIT"/>
    <m/>
    <d v="1899-12-30T17:46:00"/>
    <d v="1899-12-30T20:29:00"/>
    <x v="61"/>
    <b v="0"/>
    <s v=""/>
    <m/>
    <m/>
    <x v="1"/>
    <x v="3"/>
    <x v="1"/>
  </r>
  <r>
    <n v="536"/>
    <x v="1"/>
    <x v="529"/>
    <x v="12"/>
    <n v="36"/>
    <x v="0"/>
    <x v="1"/>
    <s v="Fri, Sat, Tue"/>
    <s v="Fri"/>
    <s v="Sat"/>
    <s v="Tue"/>
    <m/>
    <m/>
    <b v="0"/>
    <s v=""/>
    <m/>
    <m/>
    <m/>
    <d v="1899-12-30T16:05:00"/>
    <d v="1899-12-30T18:19:00"/>
    <x v="145"/>
    <b v="0"/>
    <s v=""/>
    <m/>
    <m/>
    <x v="0"/>
    <x v="0"/>
    <x v="0"/>
  </r>
  <r>
    <n v="537"/>
    <x v="0"/>
    <x v="530"/>
    <x v="9"/>
    <n v="26"/>
    <x v="1"/>
    <x v="1"/>
    <s v="Sat, Sun, Wed"/>
    <s v="Sat"/>
    <s v="Sun"/>
    <s v="Wed"/>
    <m/>
    <m/>
    <b v="1"/>
    <s v="BodyPump"/>
    <s v="BodyPump"/>
    <m/>
    <m/>
    <d v="1899-12-30T10:22:00"/>
    <d v="1899-12-30T11:36:00"/>
    <x v="131"/>
    <b v="0"/>
    <s v=""/>
    <m/>
    <m/>
    <x v="1"/>
    <x v="1"/>
    <x v="1"/>
  </r>
  <r>
    <n v="538"/>
    <x v="1"/>
    <x v="531"/>
    <x v="3"/>
    <n v="44"/>
    <x v="0"/>
    <x v="3"/>
    <s v="Mon, Sun"/>
    <s v="Mon"/>
    <s v="Sun"/>
    <m/>
    <m/>
    <m/>
    <b v="0"/>
    <s v=""/>
    <m/>
    <m/>
    <m/>
    <d v="1899-12-30T08:10:00"/>
    <d v="1899-12-30T09:57:00"/>
    <x v="34"/>
    <b v="1"/>
    <s v="orange"/>
    <s v="orange"/>
    <m/>
    <x v="1"/>
    <x v="3"/>
    <x v="0"/>
  </r>
  <r>
    <n v="539"/>
    <x v="1"/>
    <x v="532"/>
    <x v="35"/>
    <n v="12"/>
    <x v="0"/>
    <x v="2"/>
    <s v="Tue"/>
    <s v="Tue"/>
    <m/>
    <m/>
    <m/>
    <m/>
    <b v="1"/>
    <s v="XCore, Spinning"/>
    <s v="XCore"/>
    <s v="Spinning"/>
    <m/>
    <d v="1899-12-30T17:08:00"/>
    <d v="1899-12-30T19:26:00"/>
    <x v="102"/>
    <b v="0"/>
    <s v=""/>
    <m/>
    <m/>
    <x v="0"/>
    <x v="0"/>
    <x v="1"/>
  </r>
  <r>
    <n v="540"/>
    <x v="1"/>
    <x v="533"/>
    <x v="8"/>
    <n v="24"/>
    <x v="1"/>
    <x v="2"/>
    <s v="Thu"/>
    <s v="Thu"/>
    <m/>
    <m/>
    <m/>
    <m/>
    <b v="1"/>
    <s v="Yoga, Kickboxen"/>
    <s v="Yoga"/>
    <s v="Kickboxen"/>
    <m/>
    <d v="1899-12-30T08:58:00"/>
    <d v="1899-12-30T11:53:00"/>
    <x v="37"/>
    <b v="0"/>
    <s v=""/>
    <m/>
    <m/>
    <x v="1"/>
    <x v="4"/>
    <x v="0"/>
  </r>
  <r>
    <n v="541"/>
    <x v="1"/>
    <x v="534"/>
    <x v="21"/>
    <n v="48"/>
    <x v="0"/>
    <x v="3"/>
    <s v="Mon, Thu"/>
    <s v="Mon"/>
    <s v="Thu"/>
    <m/>
    <m/>
    <m/>
    <b v="0"/>
    <s v=""/>
    <m/>
    <m/>
    <m/>
    <d v="1899-12-30T16:59:00"/>
    <d v="1899-12-30T18:18:00"/>
    <x v="32"/>
    <b v="0"/>
    <s v=""/>
    <m/>
    <m/>
    <x v="0"/>
    <x v="0"/>
    <x v="1"/>
  </r>
  <r>
    <n v="542"/>
    <x v="0"/>
    <x v="535"/>
    <x v="35"/>
    <n v="13"/>
    <x v="0"/>
    <x v="2"/>
    <s v="Sat"/>
    <s v="Sat"/>
    <m/>
    <m/>
    <m/>
    <m/>
    <b v="1"/>
    <s v="XCore, BodyPump"/>
    <s v="XCore"/>
    <s v="BodyPump"/>
    <m/>
    <d v="1899-12-30T11:55:00"/>
    <d v="1899-12-30T12:55:00"/>
    <x v="127"/>
    <b v="0"/>
    <s v=""/>
    <m/>
    <m/>
    <x v="0"/>
    <x v="0"/>
    <x v="0"/>
  </r>
  <r>
    <n v="543"/>
    <x v="0"/>
    <x v="536"/>
    <x v="25"/>
    <n v="29"/>
    <x v="1"/>
    <x v="3"/>
    <s v="Fri, Thu"/>
    <s v="Fri"/>
    <s v="Thu"/>
    <m/>
    <m/>
    <m/>
    <b v="0"/>
    <s v=""/>
    <m/>
    <m/>
    <m/>
    <d v="1899-12-30T14:45:00"/>
    <d v="1899-12-30T16:43:00"/>
    <x v="24"/>
    <b v="1"/>
    <s v="coconut_pineapple"/>
    <s v="coconut_pineapple"/>
    <m/>
    <x v="1"/>
    <x v="3"/>
    <x v="0"/>
  </r>
  <r>
    <n v="544"/>
    <x v="0"/>
    <x v="537"/>
    <x v="37"/>
    <n v="12"/>
    <x v="0"/>
    <x v="3"/>
    <s v="Mon, Tue"/>
    <s v="Mon"/>
    <s v="Tue"/>
    <m/>
    <m/>
    <m/>
    <b v="1"/>
    <s v="BodyBalance, HIT"/>
    <s v="BodyBalance"/>
    <s v="HIT"/>
    <m/>
    <d v="1899-12-30T09:49:00"/>
    <d v="1899-12-30T11:30:00"/>
    <x v="133"/>
    <b v="0"/>
    <s v=""/>
    <m/>
    <m/>
    <x v="1"/>
    <x v="4"/>
    <x v="1"/>
  </r>
  <r>
    <n v="545"/>
    <x v="0"/>
    <x v="538"/>
    <x v="13"/>
    <n v="37"/>
    <x v="0"/>
    <x v="2"/>
    <s v="Wed"/>
    <s v="Wed"/>
    <m/>
    <m/>
    <m/>
    <m/>
    <b v="1"/>
    <s v="BodyBalance, Spinning, HIT"/>
    <s v="BodyBalance"/>
    <s v="Spinning"/>
    <s v="HIT"/>
    <d v="1899-12-30T15:26:00"/>
    <d v="1899-12-30T16:15:00"/>
    <x v="64"/>
    <b v="1"/>
    <s v="passion_fruit"/>
    <s v="passion_fruit"/>
    <m/>
    <x v="0"/>
    <x v="0"/>
    <x v="1"/>
  </r>
  <r>
    <n v="546"/>
    <x v="0"/>
    <x v="539"/>
    <x v="7"/>
    <n v="20"/>
    <x v="1"/>
    <x v="2"/>
    <s v="Tue"/>
    <s v="Tue"/>
    <m/>
    <m/>
    <m/>
    <m/>
    <b v="0"/>
    <s v=""/>
    <m/>
    <m/>
    <m/>
    <d v="1899-12-30T08:55:00"/>
    <d v="1899-12-30T10:23:00"/>
    <x v="58"/>
    <b v="1"/>
    <s v="berry_boost, passion_fruit"/>
    <s v="berry_boost"/>
    <s v="passion_fruit"/>
    <x v="1"/>
    <x v="4"/>
    <x v="0"/>
  </r>
  <r>
    <n v="547"/>
    <x v="1"/>
    <x v="540"/>
    <x v="19"/>
    <n v="22"/>
    <x v="1"/>
    <x v="3"/>
    <s v="Sat, Thu"/>
    <s v="Sat"/>
    <s v="Thu"/>
    <m/>
    <m/>
    <m/>
    <b v="0"/>
    <s v=""/>
    <m/>
    <m/>
    <m/>
    <d v="1899-12-30T16:19:00"/>
    <d v="1899-12-30T17:42:00"/>
    <x v="88"/>
    <b v="1"/>
    <s v="lemon"/>
    <s v="lemon"/>
    <m/>
    <x v="0"/>
    <x v="0"/>
    <x v="1"/>
  </r>
  <r>
    <n v="548"/>
    <x v="0"/>
    <x v="541"/>
    <x v="14"/>
    <n v="13"/>
    <x v="1"/>
    <x v="3"/>
    <s v="Sat, Wed"/>
    <s v="Sat"/>
    <s v="Wed"/>
    <m/>
    <m/>
    <m/>
    <b v="1"/>
    <s v="Pilates"/>
    <s v="Pilates"/>
    <m/>
    <m/>
    <d v="1899-12-30T16:36:00"/>
    <d v="1899-12-30T17:32:00"/>
    <x v="81"/>
    <b v="1"/>
    <s v="berry_boost, passion_fruit"/>
    <s v="berry_boost"/>
    <s v="passion_fruit"/>
    <x v="0"/>
    <x v="0"/>
    <x v="1"/>
  </r>
  <r>
    <n v="549"/>
    <x v="1"/>
    <x v="542"/>
    <x v="10"/>
    <n v="35"/>
    <x v="0"/>
    <x v="2"/>
    <s v="Thu"/>
    <s v="Thu"/>
    <m/>
    <m/>
    <m/>
    <m/>
    <b v="1"/>
    <s v="BodyPump, Running, Spinning"/>
    <s v="BodyPump"/>
    <s v="Running"/>
    <s v="Spinning"/>
    <d v="1899-12-30T16:27:00"/>
    <d v="1899-12-30T17:25:00"/>
    <x v="35"/>
    <b v="0"/>
    <s v=""/>
    <m/>
    <m/>
    <x v="1"/>
    <x v="3"/>
    <x v="0"/>
  </r>
  <r>
    <n v="550"/>
    <x v="0"/>
    <x v="543"/>
    <x v="31"/>
    <n v="18"/>
    <x v="0"/>
    <x v="2"/>
    <s v="Sat"/>
    <s v="Sat"/>
    <m/>
    <m/>
    <m/>
    <m/>
    <b v="0"/>
    <s v=""/>
    <m/>
    <m/>
    <m/>
    <d v="1899-12-30T18:01:00"/>
    <d v="1899-12-30T18:36:00"/>
    <x v="49"/>
    <b v="1"/>
    <s v="lemon"/>
    <s v="lemon"/>
    <m/>
    <x v="1"/>
    <x v="3"/>
    <x v="1"/>
  </r>
  <r>
    <n v="551"/>
    <x v="0"/>
    <x v="544"/>
    <x v="10"/>
    <n v="36"/>
    <x v="1"/>
    <x v="3"/>
    <s v="Mon, Sun"/>
    <s v="Mon"/>
    <s v="Sun"/>
    <m/>
    <m/>
    <m/>
    <b v="0"/>
    <s v=""/>
    <m/>
    <m/>
    <m/>
    <d v="1899-12-30T15:38:00"/>
    <d v="1899-12-30T17:36:00"/>
    <x v="24"/>
    <b v="0"/>
    <s v=""/>
    <m/>
    <m/>
    <x v="1"/>
    <x v="2"/>
    <x v="1"/>
  </r>
  <r>
    <n v="552"/>
    <x v="0"/>
    <x v="545"/>
    <x v="13"/>
    <n v="37"/>
    <x v="1"/>
    <x v="2"/>
    <s v="Sun"/>
    <s v="Sun"/>
    <m/>
    <m/>
    <m/>
    <m/>
    <b v="1"/>
    <s v="Spinning"/>
    <s v="Spinning"/>
    <m/>
    <m/>
    <d v="1899-12-30T15:55:00"/>
    <d v="1899-12-30T16:33:00"/>
    <x v="114"/>
    <b v="0"/>
    <s v=""/>
    <m/>
    <m/>
    <x v="0"/>
    <x v="0"/>
    <x v="1"/>
  </r>
  <r>
    <n v="553"/>
    <x v="1"/>
    <x v="546"/>
    <x v="13"/>
    <n v="37"/>
    <x v="1"/>
    <x v="1"/>
    <s v="Fri, Thu, Wed"/>
    <s v="Fri"/>
    <s v="Thu"/>
    <s v="Wed"/>
    <m/>
    <m/>
    <b v="1"/>
    <s v="Kickboxen, Pilates, XCore"/>
    <s v="Kickboxen"/>
    <s v="Pilates"/>
    <s v="XCore"/>
    <d v="1899-12-30T18:23:00"/>
    <d v="1899-12-30T20:28:00"/>
    <x v="62"/>
    <b v="0"/>
    <s v=""/>
    <m/>
    <m/>
    <x v="0"/>
    <x v="0"/>
    <x v="1"/>
  </r>
  <r>
    <n v="554"/>
    <x v="0"/>
    <x v="547"/>
    <x v="1"/>
    <n v="46"/>
    <x v="0"/>
    <x v="1"/>
    <s v="Sat, Thu, Tue"/>
    <s v="Sat"/>
    <s v="Thu"/>
    <s v="Tue"/>
    <m/>
    <m/>
    <b v="1"/>
    <s v="BodyPump, LesMiles"/>
    <s v="BodyPump"/>
    <s v="LesMiles"/>
    <m/>
    <d v="1899-12-30T18:15:00"/>
    <d v="1899-12-30T20:10:00"/>
    <x v="103"/>
    <b v="0"/>
    <s v=""/>
    <m/>
    <m/>
    <x v="1"/>
    <x v="3"/>
    <x v="0"/>
  </r>
  <r>
    <n v="555"/>
    <x v="1"/>
    <x v="548"/>
    <x v="33"/>
    <n v="39"/>
    <x v="0"/>
    <x v="0"/>
    <s v="Mon, Sun, Tue, Wed"/>
    <s v="Mon"/>
    <s v="Sun"/>
    <s v="Tue"/>
    <s v="Wed"/>
    <m/>
    <b v="1"/>
    <s v="BodyPump"/>
    <s v="BodyPump"/>
    <m/>
    <m/>
    <d v="1899-12-30T19:22:00"/>
    <d v="1899-12-30T21:18:00"/>
    <x v="0"/>
    <b v="1"/>
    <s v="passion_fruit, orange"/>
    <s v="passion_fruit"/>
    <s v="orange"/>
    <x v="0"/>
    <x v="0"/>
    <x v="1"/>
  </r>
  <r>
    <n v="556"/>
    <x v="0"/>
    <x v="549"/>
    <x v="33"/>
    <n v="39"/>
    <x v="1"/>
    <x v="3"/>
    <s v="Fri, Wed"/>
    <s v="Fri"/>
    <s v="Wed"/>
    <m/>
    <m/>
    <m/>
    <b v="0"/>
    <s v=""/>
    <m/>
    <m/>
    <m/>
    <d v="1899-12-30T10:32:00"/>
    <d v="1899-12-30T12:28:00"/>
    <x v="0"/>
    <b v="0"/>
    <s v=""/>
    <m/>
    <m/>
    <x v="0"/>
    <x v="0"/>
    <x v="0"/>
  </r>
  <r>
    <n v="557"/>
    <x v="0"/>
    <x v="550"/>
    <x v="13"/>
    <n v="37"/>
    <x v="1"/>
    <x v="2"/>
    <s v="Fri"/>
    <s v="Fri"/>
    <m/>
    <m/>
    <m/>
    <m/>
    <b v="1"/>
    <s v="LesMiles, Yoga"/>
    <s v="LesMiles"/>
    <s v="Yoga"/>
    <m/>
    <d v="1899-12-30T10:36:00"/>
    <d v="1899-12-30T11:56:00"/>
    <x v="137"/>
    <b v="1"/>
    <s v="coconut_pineapple"/>
    <s v="coconut_pineapple"/>
    <m/>
    <x v="0"/>
    <x v="0"/>
    <x v="0"/>
  </r>
  <r>
    <n v="558"/>
    <x v="1"/>
    <x v="551"/>
    <x v="27"/>
    <n v="48"/>
    <x v="1"/>
    <x v="1"/>
    <s v="Mon, Tue, Wed"/>
    <s v="Mon"/>
    <s v="Tue"/>
    <s v="Wed"/>
    <m/>
    <m/>
    <b v="0"/>
    <s v=""/>
    <m/>
    <m/>
    <m/>
    <d v="1899-12-30T15:32:00"/>
    <d v="1899-12-30T16:25:00"/>
    <x v="69"/>
    <b v="1"/>
    <s v="passion_fruit"/>
    <s v="passion_fruit"/>
    <m/>
    <x v="1"/>
    <x v="4"/>
    <x v="0"/>
  </r>
  <r>
    <n v="559"/>
    <x v="0"/>
    <x v="552"/>
    <x v="1"/>
    <n v="46"/>
    <x v="0"/>
    <x v="3"/>
    <s v="Mon, Tue"/>
    <s v="Mon"/>
    <s v="Tue"/>
    <m/>
    <m/>
    <m/>
    <b v="0"/>
    <s v=""/>
    <m/>
    <m/>
    <m/>
    <d v="1899-12-30T17:54:00"/>
    <d v="1899-12-30T19:17:00"/>
    <x v="88"/>
    <b v="0"/>
    <s v=""/>
    <m/>
    <m/>
    <x v="0"/>
    <x v="0"/>
    <x v="0"/>
  </r>
  <r>
    <n v="560"/>
    <x v="0"/>
    <x v="553"/>
    <x v="28"/>
    <n v="45"/>
    <x v="1"/>
    <x v="3"/>
    <s v="Thu, Wed"/>
    <s v="Thu"/>
    <s v="Wed"/>
    <m/>
    <m/>
    <m/>
    <b v="0"/>
    <s v=""/>
    <m/>
    <m/>
    <m/>
    <d v="1899-12-30T15:36:00"/>
    <d v="1899-12-30T17:56:00"/>
    <x v="74"/>
    <b v="0"/>
    <s v=""/>
    <m/>
    <m/>
    <x v="1"/>
    <x v="4"/>
    <x v="0"/>
  </r>
  <r>
    <n v="561"/>
    <x v="0"/>
    <x v="554"/>
    <x v="20"/>
    <n v="43"/>
    <x v="0"/>
    <x v="4"/>
    <s v="Mon, Sat, Sun, Thu, Wed"/>
    <s v="Mon"/>
    <s v="Sat"/>
    <s v="Sun"/>
    <s v="Thu"/>
    <s v="Wed"/>
    <b v="1"/>
    <s v="BodyPump, Running"/>
    <s v="BodyPump"/>
    <s v="Running"/>
    <m/>
    <d v="1899-12-30T13:20:00"/>
    <d v="1899-12-30T14:41:00"/>
    <x v="27"/>
    <b v="1"/>
    <s v="black_currant, orange"/>
    <s v="black_currant"/>
    <s v="orange"/>
    <x v="0"/>
    <x v="0"/>
    <x v="0"/>
  </r>
  <r>
    <n v="562"/>
    <x v="0"/>
    <x v="555"/>
    <x v="13"/>
    <n v="38"/>
    <x v="1"/>
    <x v="2"/>
    <s v="Tue"/>
    <s v="Tue"/>
    <m/>
    <m/>
    <m/>
    <m/>
    <b v="1"/>
    <s v="Yoga, Kickboxen, Pilates"/>
    <s v="Yoga"/>
    <s v="Kickboxen"/>
    <s v="Pilates"/>
    <d v="1899-12-30T12:52:00"/>
    <d v="1899-12-30T15:23:00"/>
    <x v="85"/>
    <b v="1"/>
    <s v="black_currant"/>
    <s v="black_currant"/>
    <m/>
    <x v="0"/>
    <x v="0"/>
    <x v="1"/>
  </r>
  <r>
    <n v="563"/>
    <x v="0"/>
    <x v="556"/>
    <x v="24"/>
    <n v="16"/>
    <x v="0"/>
    <x v="4"/>
    <s v="Fri, Sat, Thu, Tue, Wed"/>
    <s v="Fri"/>
    <s v="Sat"/>
    <s v="Thu"/>
    <s v="Tue"/>
    <s v="Wed"/>
    <b v="0"/>
    <s v=""/>
    <m/>
    <m/>
    <m/>
    <d v="1899-12-30T18:39:00"/>
    <d v="1899-12-30T20:06:00"/>
    <x v="38"/>
    <b v="0"/>
    <s v=""/>
    <m/>
    <m/>
    <x v="1"/>
    <x v="3"/>
    <x v="0"/>
  </r>
  <r>
    <n v="564"/>
    <x v="0"/>
    <x v="557"/>
    <x v="31"/>
    <n v="17"/>
    <x v="1"/>
    <x v="3"/>
    <s v="Fri, Sat"/>
    <s v="Fri"/>
    <s v="Sat"/>
    <m/>
    <m/>
    <m/>
    <b v="0"/>
    <s v=""/>
    <m/>
    <m/>
    <m/>
    <d v="1899-12-30T16:59:00"/>
    <d v="1899-12-30T19:27:00"/>
    <x v="146"/>
    <b v="0"/>
    <s v=""/>
    <m/>
    <m/>
    <x v="0"/>
    <x v="0"/>
    <x v="0"/>
  </r>
  <r>
    <n v="565"/>
    <x v="1"/>
    <x v="558"/>
    <x v="20"/>
    <n v="42"/>
    <x v="1"/>
    <x v="2"/>
    <s v="Thu"/>
    <s v="Thu"/>
    <m/>
    <m/>
    <m/>
    <m/>
    <b v="1"/>
    <s v="Kickboxen, Zumba, HIT"/>
    <s v="Kickboxen"/>
    <s v="Zumba"/>
    <s v="HIT"/>
    <d v="1899-12-30T12:52:00"/>
    <d v="1899-12-30T14:18:00"/>
    <x v="30"/>
    <b v="0"/>
    <s v=""/>
    <m/>
    <m/>
    <x v="0"/>
    <x v="0"/>
    <x v="1"/>
  </r>
  <r>
    <n v="566"/>
    <x v="0"/>
    <x v="559"/>
    <x v="32"/>
    <n v="33"/>
    <x v="1"/>
    <x v="3"/>
    <s v="Thu, Wed"/>
    <s v="Thu"/>
    <s v="Wed"/>
    <m/>
    <m/>
    <m/>
    <b v="0"/>
    <s v=""/>
    <m/>
    <m/>
    <m/>
    <d v="1899-12-30T09:56:00"/>
    <d v="1899-12-30T12:52:00"/>
    <x v="100"/>
    <b v="0"/>
    <s v=""/>
    <m/>
    <m/>
    <x v="1"/>
    <x v="4"/>
    <x v="0"/>
  </r>
  <r>
    <n v="567"/>
    <x v="0"/>
    <x v="560"/>
    <x v="3"/>
    <n v="44"/>
    <x v="0"/>
    <x v="0"/>
    <s v="Mon, Thu, Tue, Wed"/>
    <s v="Mon"/>
    <s v="Thu"/>
    <s v="Tue"/>
    <s v="Wed"/>
    <m/>
    <b v="1"/>
    <s v="Kickboxen"/>
    <s v="Kickboxen"/>
    <m/>
    <m/>
    <d v="1899-12-30T19:09:00"/>
    <d v="1899-12-30T21:55:00"/>
    <x v="57"/>
    <b v="1"/>
    <s v="black_currant, berry_boost"/>
    <s v="black_currant"/>
    <s v="berry_boost"/>
    <x v="0"/>
    <x v="0"/>
    <x v="0"/>
  </r>
  <r>
    <n v="568"/>
    <x v="0"/>
    <x v="561"/>
    <x v="10"/>
    <n v="35"/>
    <x v="0"/>
    <x v="4"/>
    <s v="Sat, Sun, Thu, Tue, Wed"/>
    <s v="Sat"/>
    <s v="Sun"/>
    <s v="Thu"/>
    <s v="Tue"/>
    <s v="Wed"/>
    <b v="0"/>
    <s v=""/>
    <m/>
    <m/>
    <m/>
    <d v="1899-12-30T10:41:00"/>
    <d v="1899-12-30T13:41:00"/>
    <x v="5"/>
    <b v="0"/>
    <s v=""/>
    <m/>
    <m/>
    <x v="0"/>
    <x v="0"/>
    <x v="0"/>
  </r>
  <r>
    <n v="569"/>
    <x v="1"/>
    <x v="562"/>
    <x v="34"/>
    <n v="31"/>
    <x v="0"/>
    <x v="3"/>
    <s v="Mon, Wed"/>
    <s v="Mon"/>
    <s v="Wed"/>
    <m/>
    <m/>
    <m/>
    <b v="1"/>
    <s v="Yoga, Zumba"/>
    <s v="Yoga"/>
    <s v="Zumba"/>
    <m/>
    <d v="1899-12-30T20:28:00"/>
    <d v="1899-12-30T21:52:00"/>
    <x v="63"/>
    <b v="1"/>
    <s v="black_currant"/>
    <s v="black_currant"/>
    <m/>
    <x v="1"/>
    <x v="4"/>
    <x v="1"/>
  </r>
  <r>
    <n v="570"/>
    <x v="1"/>
    <x v="563"/>
    <x v="22"/>
    <n v="40"/>
    <x v="1"/>
    <x v="2"/>
    <s v="Fri"/>
    <s v="Fri"/>
    <m/>
    <m/>
    <m/>
    <m/>
    <b v="0"/>
    <s v=""/>
    <m/>
    <m/>
    <m/>
    <d v="1899-12-30T18:30:00"/>
    <d v="1899-12-30T19:44:00"/>
    <x v="131"/>
    <b v="1"/>
    <s v="lemon, black_currant"/>
    <s v="lemon"/>
    <s v="black_currant"/>
    <x v="0"/>
    <x v="0"/>
    <x v="0"/>
  </r>
  <r>
    <n v="571"/>
    <x v="0"/>
    <x v="564"/>
    <x v="36"/>
    <n v="49"/>
    <x v="0"/>
    <x v="3"/>
    <s v="Tue, Wed"/>
    <s v="Tue"/>
    <s v="Wed"/>
    <m/>
    <m/>
    <m/>
    <b v="0"/>
    <s v=""/>
    <m/>
    <m/>
    <m/>
    <d v="1899-12-30T10:11:00"/>
    <d v="1899-12-30T11:28:00"/>
    <x v="71"/>
    <b v="1"/>
    <s v="berry_boost"/>
    <s v="berry_boost"/>
    <m/>
    <x v="1"/>
    <x v="4"/>
    <x v="1"/>
  </r>
  <r>
    <n v="572"/>
    <x v="0"/>
    <x v="565"/>
    <x v="24"/>
    <n v="16"/>
    <x v="1"/>
    <x v="4"/>
    <s v="Fri, Sat, Sun, Thu, Wed"/>
    <s v="Fri"/>
    <s v="Sat"/>
    <s v="Sun"/>
    <s v="Thu"/>
    <s v="Wed"/>
    <b v="1"/>
    <s v="Spinning, Zumba"/>
    <s v="Spinning"/>
    <s v="Zumba"/>
    <m/>
    <d v="1899-12-30T17:04:00"/>
    <d v="1899-12-30T17:45:00"/>
    <x v="110"/>
    <b v="1"/>
    <s v="passion_fruit"/>
    <s v="passion_fruit"/>
    <m/>
    <x v="0"/>
    <x v="0"/>
    <x v="0"/>
  </r>
  <r>
    <n v="573"/>
    <x v="1"/>
    <x v="566"/>
    <x v="0"/>
    <n v="27"/>
    <x v="0"/>
    <x v="1"/>
    <s v="Mon, Sat, Thu"/>
    <s v="Mon"/>
    <s v="Sat"/>
    <s v="Thu"/>
    <m/>
    <m/>
    <b v="0"/>
    <s v=""/>
    <m/>
    <m/>
    <m/>
    <d v="1899-12-30T18:16:00"/>
    <d v="1899-12-30T20:37:00"/>
    <x v="113"/>
    <b v="0"/>
    <s v=""/>
    <m/>
    <m/>
    <x v="0"/>
    <x v="0"/>
    <x v="1"/>
  </r>
  <r>
    <n v="574"/>
    <x v="0"/>
    <x v="567"/>
    <x v="36"/>
    <n v="49"/>
    <x v="0"/>
    <x v="3"/>
    <s v="Mon, Sun"/>
    <s v="Mon"/>
    <s v="Sun"/>
    <m/>
    <m/>
    <m/>
    <b v="0"/>
    <s v=""/>
    <m/>
    <m/>
    <m/>
    <d v="1899-12-30T19:30:00"/>
    <d v="1899-12-30T20:52:00"/>
    <x v="42"/>
    <b v="1"/>
    <s v="berry_boost"/>
    <s v="berry_boost"/>
    <m/>
    <x v="1"/>
    <x v="1"/>
    <x v="1"/>
  </r>
  <r>
    <n v="575"/>
    <x v="0"/>
    <x v="568"/>
    <x v="32"/>
    <n v="33"/>
    <x v="0"/>
    <x v="2"/>
    <s v="Sun"/>
    <s v="Sun"/>
    <m/>
    <m/>
    <m/>
    <m/>
    <b v="0"/>
    <s v=""/>
    <m/>
    <m/>
    <m/>
    <d v="1899-12-30T16:29:00"/>
    <d v="1899-12-30T17:07:00"/>
    <x v="114"/>
    <b v="0"/>
    <s v=""/>
    <m/>
    <m/>
    <x v="1"/>
    <x v="4"/>
    <x v="1"/>
  </r>
  <r>
    <n v="576"/>
    <x v="1"/>
    <x v="569"/>
    <x v="24"/>
    <n v="16"/>
    <x v="0"/>
    <x v="3"/>
    <s v="Fri, Wed"/>
    <s v="Fri"/>
    <s v="Wed"/>
    <m/>
    <m/>
    <m/>
    <b v="1"/>
    <s v="Running, Zumba, HIT"/>
    <s v="Running"/>
    <s v="Zumba"/>
    <s v="HIT"/>
    <d v="1899-12-30T12:40:00"/>
    <d v="1899-12-30T13:52:00"/>
    <x v="109"/>
    <b v="1"/>
    <s v="lemon, orange"/>
    <s v="lemon"/>
    <s v="orange"/>
    <x v="1"/>
    <x v="1"/>
    <x v="1"/>
  </r>
  <r>
    <n v="577"/>
    <x v="0"/>
    <x v="570"/>
    <x v="19"/>
    <n v="21"/>
    <x v="1"/>
    <x v="3"/>
    <s v="Mon, Wed"/>
    <s v="Mon"/>
    <s v="Wed"/>
    <m/>
    <m/>
    <m/>
    <b v="0"/>
    <s v=""/>
    <m/>
    <m/>
    <m/>
    <d v="1899-12-30T10:26:00"/>
    <d v="1899-12-30T12:21:00"/>
    <x v="103"/>
    <b v="1"/>
    <s v="black_currant, coconut_pineapple"/>
    <s v="black_currant"/>
    <s v="coconut_pineapple"/>
    <x v="1"/>
    <x v="2"/>
    <x v="0"/>
  </r>
  <r>
    <n v="578"/>
    <x v="1"/>
    <x v="571"/>
    <x v="2"/>
    <n v="41"/>
    <x v="0"/>
    <x v="4"/>
    <s v="Mon, Sat, Sun, Tue, Wed"/>
    <s v="Mon"/>
    <s v="Sat"/>
    <s v="Sun"/>
    <s v="Tue"/>
    <s v="Wed"/>
    <b v="0"/>
    <s v=""/>
    <m/>
    <m/>
    <m/>
    <d v="1899-12-30T20:35:00"/>
    <d v="1899-12-30T22:30:00"/>
    <x v="103"/>
    <b v="0"/>
    <s v=""/>
    <m/>
    <m/>
    <x v="0"/>
    <x v="0"/>
    <x v="0"/>
  </r>
  <r>
    <n v="579"/>
    <x v="1"/>
    <x v="572"/>
    <x v="10"/>
    <n v="35"/>
    <x v="0"/>
    <x v="3"/>
    <s v="Sun, Wed"/>
    <s v="Sun"/>
    <s v="Wed"/>
    <m/>
    <m/>
    <m/>
    <b v="0"/>
    <s v=""/>
    <m/>
    <m/>
    <m/>
    <d v="1899-12-30T19:50:00"/>
    <d v="1899-12-30T22:24:00"/>
    <x v="20"/>
    <b v="0"/>
    <s v=""/>
    <m/>
    <m/>
    <x v="1"/>
    <x v="4"/>
    <x v="0"/>
  </r>
  <r>
    <n v="580"/>
    <x v="1"/>
    <x v="573"/>
    <x v="23"/>
    <n v="18"/>
    <x v="1"/>
    <x v="1"/>
    <s v="Sun, Thu, Tue"/>
    <s v="Sun"/>
    <s v="Thu"/>
    <s v="Tue"/>
    <m/>
    <m/>
    <b v="1"/>
    <s v="Running, LesMiles, Spinning"/>
    <s v="Running"/>
    <s v="LesMiles"/>
    <s v="Spinning"/>
    <d v="1899-12-30T16:10:00"/>
    <d v="1899-12-30T17:04:00"/>
    <x v="55"/>
    <b v="1"/>
    <s v="lemon"/>
    <s v="lemon"/>
    <m/>
    <x v="0"/>
    <x v="0"/>
    <x v="1"/>
  </r>
  <r>
    <n v="581"/>
    <x v="1"/>
    <x v="574"/>
    <x v="27"/>
    <n v="49"/>
    <x v="0"/>
    <x v="1"/>
    <s v="Mon, Sat, Sun"/>
    <s v="Mon"/>
    <s v="Sat"/>
    <s v="Sun"/>
    <m/>
    <m/>
    <b v="0"/>
    <s v=""/>
    <m/>
    <m/>
    <m/>
    <d v="1899-12-30T15:25:00"/>
    <d v="1899-12-30T18:05:00"/>
    <x v="21"/>
    <b v="1"/>
    <s v="orange"/>
    <s v="orange"/>
    <m/>
    <x v="0"/>
    <x v="0"/>
    <x v="0"/>
  </r>
  <r>
    <n v="582"/>
    <x v="0"/>
    <x v="575"/>
    <x v="3"/>
    <n v="44"/>
    <x v="0"/>
    <x v="3"/>
    <s v="Sun, Wed"/>
    <s v="Sun"/>
    <s v="Wed"/>
    <m/>
    <m/>
    <m/>
    <b v="1"/>
    <s v="BodyPump"/>
    <s v="BodyPump"/>
    <m/>
    <m/>
    <d v="1899-12-30T14:41:00"/>
    <d v="1899-12-30T16:35:00"/>
    <x v="25"/>
    <b v="0"/>
    <s v=""/>
    <m/>
    <m/>
    <x v="0"/>
    <x v="0"/>
    <x v="1"/>
  </r>
  <r>
    <n v="583"/>
    <x v="0"/>
    <x v="576"/>
    <x v="6"/>
    <n v="30"/>
    <x v="1"/>
    <x v="2"/>
    <s v="Fri"/>
    <s v="Fri"/>
    <m/>
    <m/>
    <m/>
    <m/>
    <b v="0"/>
    <s v=""/>
    <m/>
    <m/>
    <m/>
    <d v="1899-12-30T16:34:00"/>
    <d v="1899-12-30T19:02:00"/>
    <x v="146"/>
    <b v="0"/>
    <s v=""/>
    <m/>
    <m/>
    <x v="0"/>
    <x v="0"/>
    <x v="0"/>
  </r>
  <r>
    <n v="584"/>
    <x v="1"/>
    <x v="577"/>
    <x v="26"/>
    <n v="28"/>
    <x v="1"/>
    <x v="1"/>
    <s v="Sat, Thu, Wed"/>
    <s v="Sat"/>
    <s v="Thu"/>
    <s v="Wed"/>
    <m/>
    <m/>
    <b v="0"/>
    <s v=""/>
    <m/>
    <m/>
    <m/>
    <d v="1899-12-30T10:48:00"/>
    <d v="1899-12-30T12:09:00"/>
    <x v="27"/>
    <b v="0"/>
    <s v=""/>
    <m/>
    <m/>
    <x v="0"/>
    <x v="0"/>
    <x v="1"/>
  </r>
  <r>
    <n v="585"/>
    <x v="0"/>
    <x v="578"/>
    <x v="9"/>
    <n v="26"/>
    <x v="0"/>
    <x v="3"/>
    <s v="Fri, Sun"/>
    <s v="Fri"/>
    <s v="Sun"/>
    <m/>
    <m/>
    <m/>
    <b v="1"/>
    <s v="Kickboxen"/>
    <s v="Kickboxen"/>
    <m/>
    <m/>
    <d v="1899-12-30T20:45:00"/>
    <d v="1899-12-30T21:48:00"/>
    <x v="143"/>
    <b v="0"/>
    <s v=""/>
    <m/>
    <m/>
    <x v="1"/>
    <x v="1"/>
    <x v="0"/>
  </r>
  <r>
    <n v="586"/>
    <x v="1"/>
    <x v="579"/>
    <x v="16"/>
    <n v="32"/>
    <x v="1"/>
    <x v="1"/>
    <s v="Fri, Mon, Thu"/>
    <s v="Fri"/>
    <s v="Mon"/>
    <s v="Thu"/>
    <m/>
    <m/>
    <b v="0"/>
    <s v=""/>
    <m/>
    <m/>
    <m/>
    <d v="1899-12-30T08:13:00"/>
    <d v="1899-12-30T09:06:00"/>
    <x v="69"/>
    <b v="1"/>
    <s v="coconut_pineapple"/>
    <s v="coconut_pineapple"/>
    <m/>
    <x v="0"/>
    <x v="0"/>
    <x v="1"/>
  </r>
  <r>
    <n v="587"/>
    <x v="1"/>
    <x v="580"/>
    <x v="9"/>
    <n v="26"/>
    <x v="0"/>
    <x v="4"/>
    <s v="Fri, Sat, Sun, Tue, Wed"/>
    <s v="Fri"/>
    <s v="Sat"/>
    <s v="Sun"/>
    <s v="Tue"/>
    <s v="Wed"/>
    <b v="1"/>
    <s v="Spinning"/>
    <s v="Spinning"/>
    <m/>
    <m/>
    <d v="1899-12-30T15:57:00"/>
    <d v="1899-12-30T17:38:00"/>
    <x v="133"/>
    <b v="0"/>
    <s v=""/>
    <m/>
    <m/>
    <x v="0"/>
    <x v="0"/>
    <x v="0"/>
  </r>
  <r>
    <n v="588"/>
    <x v="1"/>
    <x v="581"/>
    <x v="18"/>
    <n v="19"/>
    <x v="0"/>
    <x v="1"/>
    <s v="Sat, Thu, Tue"/>
    <s v="Sat"/>
    <s v="Thu"/>
    <s v="Tue"/>
    <m/>
    <m/>
    <b v="1"/>
    <s v="BodyPump, BodyBalance, Zumba"/>
    <s v="BodyPump"/>
    <s v="BodyBalance"/>
    <s v="Zumba"/>
    <d v="1899-12-30T08:22:00"/>
    <d v="1899-12-30T09:14:00"/>
    <x v="59"/>
    <b v="0"/>
    <s v=""/>
    <m/>
    <m/>
    <x v="1"/>
    <x v="4"/>
    <x v="0"/>
  </r>
  <r>
    <n v="589"/>
    <x v="1"/>
    <x v="582"/>
    <x v="5"/>
    <n v="15"/>
    <x v="1"/>
    <x v="0"/>
    <s v="Fri, Sat, Sun, Wed"/>
    <s v="Fri"/>
    <s v="Sat"/>
    <s v="Sun"/>
    <s v="Wed"/>
    <m/>
    <b v="0"/>
    <s v=""/>
    <m/>
    <m/>
    <m/>
    <d v="1899-12-30T14:06:00"/>
    <d v="1899-12-30T15:54:00"/>
    <x v="84"/>
    <b v="1"/>
    <s v="coconut_pineapple, lemon"/>
    <s v="coconut_pineapple"/>
    <s v="lemon"/>
    <x v="0"/>
    <x v="0"/>
    <x v="0"/>
  </r>
  <r>
    <n v="590"/>
    <x v="1"/>
    <x v="583"/>
    <x v="34"/>
    <n v="31"/>
    <x v="1"/>
    <x v="3"/>
    <s v="Fri, Tue"/>
    <s v="Fri"/>
    <s v="Tue"/>
    <m/>
    <m/>
    <m/>
    <b v="1"/>
    <s v="XCore, BodyPump"/>
    <s v="XCore"/>
    <s v="BodyPump"/>
    <m/>
    <d v="1899-12-30T09:51:00"/>
    <d v="1899-12-30T11:04:00"/>
    <x v="86"/>
    <b v="0"/>
    <s v=""/>
    <m/>
    <m/>
    <x v="1"/>
    <x v="1"/>
    <x v="0"/>
  </r>
  <r>
    <n v="591"/>
    <x v="1"/>
    <x v="584"/>
    <x v="33"/>
    <n v="39"/>
    <x v="1"/>
    <x v="4"/>
    <s v="Fri, Mon, Sun, Thu, Wed"/>
    <s v="Fri"/>
    <s v="Mon"/>
    <s v="Sun"/>
    <s v="Thu"/>
    <s v="Wed"/>
    <b v="1"/>
    <s v="HIT"/>
    <s v="HIT"/>
    <m/>
    <m/>
    <d v="1899-12-30T12:50:00"/>
    <d v="1899-12-30T14:58:00"/>
    <x v="119"/>
    <b v="0"/>
    <s v=""/>
    <m/>
    <m/>
    <x v="1"/>
    <x v="3"/>
    <x v="0"/>
  </r>
  <r>
    <n v="592"/>
    <x v="0"/>
    <x v="585"/>
    <x v="4"/>
    <n v="43"/>
    <x v="1"/>
    <x v="1"/>
    <s v="Sat, Sun, Wed"/>
    <s v="Sat"/>
    <s v="Sun"/>
    <s v="Wed"/>
    <m/>
    <m/>
    <b v="1"/>
    <s v="BodyBalance, Zumba, Kickboxen"/>
    <s v="BodyBalance"/>
    <s v="Zumba"/>
    <s v="Kickboxen"/>
    <d v="1899-12-30T10:17:00"/>
    <d v="1899-12-30T12:00:00"/>
    <x v="60"/>
    <b v="0"/>
    <s v=""/>
    <m/>
    <m/>
    <x v="1"/>
    <x v="2"/>
    <x v="1"/>
  </r>
  <r>
    <n v="593"/>
    <x v="0"/>
    <x v="586"/>
    <x v="9"/>
    <n v="26"/>
    <x v="1"/>
    <x v="4"/>
    <s v="Fri, Sun, Thu, Tue, Wed"/>
    <s v="Fri"/>
    <s v="Sun"/>
    <s v="Thu"/>
    <s v="Tue"/>
    <s v="Wed"/>
    <b v="0"/>
    <s v=""/>
    <m/>
    <m/>
    <m/>
    <d v="1899-12-30T19:51:00"/>
    <d v="1899-12-30T21:23:00"/>
    <x v="8"/>
    <b v="1"/>
    <s v="orange"/>
    <s v="orange"/>
    <m/>
    <x v="1"/>
    <x v="1"/>
    <x v="0"/>
  </r>
  <r>
    <n v="594"/>
    <x v="1"/>
    <x v="587"/>
    <x v="5"/>
    <n v="15"/>
    <x v="1"/>
    <x v="2"/>
    <s v="Thu"/>
    <s v="Thu"/>
    <m/>
    <m/>
    <m/>
    <m/>
    <b v="1"/>
    <s v="BodyPump"/>
    <s v="BodyPump"/>
    <m/>
    <m/>
    <d v="1899-12-30T08:01:00"/>
    <d v="1899-12-30T10:30:00"/>
    <x v="18"/>
    <b v="1"/>
    <s v="lemon"/>
    <s v="lemon"/>
    <m/>
    <x v="1"/>
    <x v="4"/>
    <x v="0"/>
  </r>
  <r>
    <n v="595"/>
    <x v="1"/>
    <x v="588"/>
    <x v="32"/>
    <n v="33"/>
    <x v="1"/>
    <x v="3"/>
    <s v="Sat, Wed"/>
    <s v="Sat"/>
    <s v="Wed"/>
    <m/>
    <m/>
    <m/>
    <b v="1"/>
    <s v="BodyPump, Running"/>
    <s v="BodyPump"/>
    <s v="Running"/>
    <m/>
    <d v="1899-12-30T17:06:00"/>
    <d v="1899-12-30T19:09:00"/>
    <x v="2"/>
    <b v="1"/>
    <s v="orange, berry_boost"/>
    <s v="orange"/>
    <s v="berry_boost"/>
    <x v="1"/>
    <x v="4"/>
    <x v="1"/>
  </r>
  <r>
    <n v="596"/>
    <x v="1"/>
    <x v="589"/>
    <x v="1"/>
    <n v="46"/>
    <x v="0"/>
    <x v="4"/>
    <s v="Mon, Sat, Thu, Tue, Wed"/>
    <s v="Mon"/>
    <s v="Sat"/>
    <s v="Thu"/>
    <s v="Tue"/>
    <s v="Wed"/>
    <b v="0"/>
    <s v=""/>
    <m/>
    <m/>
    <m/>
    <d v="1899-12-30T20:46:00"/>
    <d v="1899-12-30T22:09:00"/>
    <x v="88"/>
    <b v="1"/>
    <s v="orange, black_currant"/>
    <s v="orange"/>
    <s v="black_currant"/>
    <x v="1"/>
    <x v="4"/>
    <x v="0"/>
  </r>
  <r>
    <n v="597"/>
    <x v="1"/>
    <x v="590"/>
    <x v="27"/>
    <n v="48"/>
    <x v="0"/>
    <x v="2"/>
    <s v="Fri"/>
    <s v="Fri"/>
    <m/>
    <m/>
    <m/>
    <m/>
    <b v="0"/>
    <s v=""/>
    <m/>
    <m/>
    <m/>
    <d v="1899-12-30T18:52:00"/>
    <d v="1899-12-30T20:11:00"/>
    <x v="32"/>
    <b v="1"/>
    <s v="orange"/>
    <s v="orange"/>
    <m/>
    <x v="1"/>
    <x v="2"/>
    <x v="1"/>
  </r>
  <r>
    <n v="598"/>
    <x v="0"/>
    <x v="591"/>
    <x v="17"/>
    <n v="14"/>
    <x v="1"/>
    <x v="3"/>
    <s v="Fri, Thu"/>
    <s v="Fri"/>
    <s v="Thu"/>
    <m/>
    <m/>
    <m/>
    <b v="1"/>
    <s v="BodyBalance, LesMiles, Pilates"/>
    <s v="BodyBalance"/>
    <s v="LesMiles"/>
    <s v="Pilates"/>
    <d v="1899-12-30T09:21:00"/>
    <d v="1899-12-30T12:12:00"/>
    <x v="132"/>
    <b v="0"/>
    <s v=""/>
    <m/>
    <m/>
    <x v="1"/>
    <x v="2"/>
    <x v="1"/>
  </r>
  <r>
    <n v="599"/>
    <x v="1"/>
    <x v="592"/>
    <x v="15"/>
    <n v="38"/>
    <x v="1"/>
    <x v="4"/>
    <s v="Mon, Sat, Sun, Thu, Tue"/>
    <s v="Mon"/>
    <s v="Sat"/>
    <s v="Sun"/>
    <s v="Thu"/>
    <s v="Tue"/>
    <b v="0"/>
    <s v=""/>
    <m/>
    <m/>
    <m/>
    <d v="1899-12-30T08:35:00"/>
    <d v="1899-12-30T10:56:00"/>
    <x v="113"/>
    <b v="1"/>
    <s v="berry_boost"/>
    <s v="berry_boost"/>
    <m/>
    <x v="1"/>
    <x v="3"/>
    <x v="1"/>
  </r>
  <r>
    <n v="600"/>
    <x v="1"/>
    <x v="593"/>
    <x v="3"/>
    <n v="44"/>
    <x v="0"/>
    <x v="1"/>
    <s v="Sun, Tue, Wed"/>
    <s v="Sun"/>
    <s v="Tue"/>
    <s v="Wed"/>
    <m/>
    <m/>
    <b v="0"/>
    <s v=""/>
    <m/>
    <m/>
    <m/>
    <d v="1899-12-30T19:40:00"/>
    <d v="1899-12-30T22:29:00"/>
    <x v="76"/>
    <b v="0"/>
    <s v=""/>
    <m/>
    <m/>
    <x v="1"/>
    <x v="3"/>
    <x v="1"/>
  </r>
  <r>
    <n v="601"/>
    <x v="0"/>
    <x v="594"/>
    <x v="33"/>
    <n v="39"/>
    <x v="1"/>
    <x v="3"/>
    <s v="Sun, Wed"/>
    <s v="Sun"/>
    <s v="Wed"/>
    <m/>
    <m/>
    <m/>
    <b v="0"/>
    <s v=""/>
    <m/>
    <m/>
    <m/>
    <d v="1899-12-30T12:10:00"/>
    <d v="1899-12-30T12:42:00"/>
    <x v="105"/>
    <b v="1"/>
    <s v="passion_fruit, berry_boost"/>
    <s v="passion_fruit"/>
    <s v="berry_boost"/>
    <x v="1"/>
    <x v="2"/>
    <x v="1"/>
  </r>
  <r>
    <n v="602"/>
    <x v="1"/>
    <x v="595"/>
    <x v="36"/>
    <n v="49"/>
    <x v="1"/>
    <x v="3"/>
    <s v="Sat, Wed"/>
    <s v="Sat"/>
    <s v="Wed"/>
    <m/>
    <m/>
    <m/>
    <b v="0"/>
    <s v=""/>
    <m/>
    <m/>
    <m/>
    <d v="1899-12-30T15:41:00"/>
    <d v="1899-12-30T17:45:00"/>
    <x v="129"/>
    <b v="1"/>
    <s v="passion_fruit, orange"/>
    <s v="passion_fruit"/>
    <s v="orange"/>
    <x v="0"/>
    <x v="0"/>
    <x v="1"/>
  </r>
  <r>
    <n v="603"/>
    <x v="1"/>
    <x v="596"/>
    <x v="31"/>
    <n v="17"/>
    <x v="1"/>
    <x v="1"/>
    <s v="Fri, Mon, Sun"/>
    <s v="Fri"/>
    <s v="Mon"/>
    <s v="Sun"/>
    <m/>
    <m/>
    <b v="0"/>
    <s v=""/>
    <m/>
    <m/>
    <m/>
    <d v="1899-12-30T15:24:00"/>
    <d v="1899-12-30T17:42:00"/>
    <x v="102"/>
    <b v="0"/>
    <s v=""/>
    <m/>
    <m/>
    <x v="0"/>
    <x v="0"/>
    <x v="0"/>
  </r>
  <r>
    <n v="604"/>
    <x v="0"/>
    <x v="597"/>
    <x v="10"/>
    <n v="35"/>
    <x v="1"/>
    <x v="3"/>
    <s v="Tue, Wed"/>
    <s v="Tue"/>
    <s v="Wed"/>
    <m/>
    <m/>
    <m/>
    <b v="0"/>
    <s v=""/>
    <m/>
    <m/>
    <m/>
    <d v="1899-12-30T18:42:00"/>
    <d v="1899-12-30T21:41:00"/>
    <x v="120"/>
    <b v="0"/>
    <s v=""/>
    <m/>
    <m/>
    <x v="1"/>
    <x v="3"/>
    <x v="0"/>
  </r>
  <r>
    <n v="605"/>
    <x v="1"/>
    <x v="598"/>
    <x v="28"/>
    <n v="45"/>
    <x v="1"/>
    <x v="1"/>
    <s v="Mon, Sat, Tue"/>
    <s v="Mon"/>
    <s v="Sat"/>
    <s v="Tue"/>
    <m/>
    <m/>
    <b v="1"/>
    <s v="HIT"/>
    <s v="HIT"/>
    <m/>
    <m/>
    <d v="1899-12-30T17:42:00"/>
    <d v="1899-12-30T20:36:00"/>
    <x v="90"/>
    <b v="0"/>
    <s v=""/>
    <m/>
    <m/>
    <x v="0"/>
    <x v="0"/>
    <x v="0"/>
  </r>
  <r>
    <n v="606"/>
    <x v="1"/>
    <x v="599"/>
    <x v="25"/>
    <n v="29"/>
    <x v="1"/>
    <x v="1"/>
    <s v="Fri, Mon, Thu"/>
    <s v="Fri"/>
    <s v="Mon"/>
    <s v="Thu"/>
    <m/>
    <m/>
    <b v="1"/>
    <s v="XCore, HIT, Spinning"/>
    <s v="XCore"/>
    <s v="HIT"/>
    <s v="Spinning"/>
    <d v="1899-12-30T20:39:00"/>
    <d v="1899-12-30T22:09:00"/>
    <x v="140"/>
    <b v="0"/>
    <s v=""/>
    <m/>
    <m/>
    <x v="1"/>
    <x v="4"/>
    <x v="1"/>
  </r>
  <r>
    <n v="607"/>
    <x v="0"/>
    <x v="600"/>
    <x v="2"/>
    <n v="42"/>
    <x v="0"/>
    <x v="1"/>
    <s v="Mon, Sat, Thu"/>
    <s v="Mon"/>
    <s v="Sat"/>
    <s v="Thu"/>
    <m/>
    <m/>
    <b v="0"/>
    <s v=""/>
    <m/>
    <m/>
    <m/>
    <d v="1899-12-30T16:20:00"/>
    <d v="1899-12-30T17:20:00"/>
    <x v="127"/>
    <b v="1"/>
    <s v="coconut_pineapple"/>
    <s v="coconut_pineapple"/>
    <m/>
    <x v="1"/>
    <x v="2"/>
    <x v="1"/>
  </r>
  <r>
    <n v="608"/>
    <x v="0"/>
    <x v="601"/>
    <x v="23"/>
    <n v="18"/>
    <x v="1"/>
    <x v="1"/>
    <s v="Sat, Tue, Wed"/>
    <s v="Sat"/>
    <s v="Tue"/>
    <s v="Wed"/>
    <m/>
    <m/>
    <b v="1"/>
    <s v="HIT, LesMiles, BodyBalance"/>
    <s v="HIT"/>
    <s v="LesMiles"/>
    <s v="BodyBalance"/>
    <d v="1899-12-30T08:46:00"/>
    <d v="1899-12-30T10:53:00"/>
    <x v="144"/>
    <b v="0"/>
    <s v=""/>
    <m/>
    <m/>
    <x v="0"/>
    <x v="0"/>
    <x v="1"/>
  </r>
  <r>
    <n v="609"/>
    <x v="0"/>
    <x v="602"/>
    <x v="12"/>
    <n v="36"/>
    <x v="1"/>
    <x v="1"/>
    <s v="Fri, Thu, Tue"/>
    <s v="Fri"/>
    <s v="Thu"/>
    <s v="Tue"/>
    <m/>
    <m/>
    <b v="1"/>
    <s v="BodyBalance, Running, LesMiles"/>
    <s v="BodyBalance"/>
    <s v="Running"/>
    <s v="LesMiles"/>
    <d v="1899-12-30T17:33:00"/>
    <d v="1899-12-30T19:16:00"/>
    <x v="60"/>
    <b v="0"/>
    <s v=""/>
    <m/>
    <m/>
    <x v="0"/>
    <x v="0"/>
    <x v="0"/>
  </r>
  <r>
    <n v="610"/>
    <x v="0"/>
    <x v="603"/>
    <x v="11"/>
    <n v="34"/>
    <x v="1"/>
    <x v="3"/>
    <s v="Mon, Thu"/>
    <s v="Mon"/>
    <s v="Thu"/>
    <m/>
    <m/>
    <m/>
    <b v="1"/>
    <s v="Yoga, Kickboxen, Pilates"/>
    <s v="Yoga"/>
    <s v="Kickboxen"/>
    <s v="Pilates"/>
    <d v="1899-12-30T14:03:00"/>
    <d v="1899-12-30T16:10:00"/>
    <x v="144"/>
    <b v="1"/>
    <s v="passion_fruit"/>
    <s v="passion_fruit"/>
    <m/>
    <x v="0"/>
    <x v="0"/>
    <x v="0"/>
  </r>
  <r>
    <n v="611"/>
    <x v="0"/>
    <x v="604"/>
    <x v="12"/>
    <n v="36"/>
    <x v="0"/>
    <x v="2"/>
    <s v="Fri"/>
    <s v="Fri"/>
    <m/>
    <m/>
    <m/>
    <m/>
    <b v="1"/>
    <s v="Yoga, Pilates"/>
    <s v="Yoga"/>
    <s v="Pilates"/>
    <m/>
    <d v="1899-12-30T14:49:00"/>
    <d v="1899-12-30T16:32:00"/>
    <x v="60"/>
    <b v="1"/>
    <s v="passion_fruit, berry_boost"/>
    <s v="passion_fruit"/>
    <s v="berry_boost"/>
    <x v="1"/>
    <x v="1"/>
    <x v="1"/>
  </r>
  <r>
    <n v="612"/>
    <x v="0"/>
    <x v="605"/>
    <x v="28"/>
    <n v="45"/>
    <x v="1"/>
    <x v="1"/>
    <s v="Mon, Sun, Wed"/>
    <s v="Mon"/>
    <s v="Sun"/>
    <s v="Wed"/>
    <m/>
    <m/>
    <b v="0"/>
    <s v=""/>
    <m/>
    <m/>
    <m/>
    <d v="1899-12-30T13:42:00"/>
    <d v="1899-12-30T15:54:00"/>
    <x v="121"/>
    <b v="0"/>
    <s v=""/>
    <m/>
    <m/>
    <x v="0"/>
    <x v="0"/>
    <x v="1"/>
  </r>
  <r>
    <n v="613"/>
    <x v="1"/>
    <x v="606"/>
    <x v="4"/>
    <n v="43"/>
    <x v="1"/>
    <x v="4"/>
    <s v="Fri, Sat, Sun, Thu, Tue"/>
    <s v="Fri"/>
    <s v="Sat"/>
    <s v="Sun"/>
    <s v="Thu"/>
    <s v="Tue"/>
    <b v="1"/>
    <s v="XCore, Yoga, BodyPump"/>
    <s v="XCore"/>
    <s v="Yoga"/>
    <s v="BodyPump"/>
    <d v="1899-12-30T17:32:00"/>
    <d v="1899-12-30T18:16:00"/>
    <x v="122"/>
    <b v="0"/>
    <s v=""/>
    <m/>
    <m/>
    <x v="1"/>
    <x v="2"/>
    <x v="0"/>
  </r>
  <r>
    <n v="614"/>
    <x v="1"/>
    <x v="607"/>
    <x v="24"/>
    <n v="16"/>
    <x v="0"/>
    <x v="1"/>
    <s v="Sat, Thu, Tue"/>
    <s v="Sat"/>
    <s v="Thu"/>
    <s v="Tue"/>
    <m/>
    <m/>
    <b v="0"/>
    <s v=""/>
    <m/>
    <m/>
    <m/>
    <d v="1899-12-30T09:37:00"/>
    <d v="1899-12-30T11:46:00"/>
    <x v="141"/>
    <b v="1"/>
    <s v="coconut_pineapple"/>
    <s v="coconut_pineapple"/>
    <m/>
    <x v="0"/>
    <x v="0"/>
    <x v="0"/>
  </r>
  <r>
    <n v="615"/>
    <x v="1"/>
    <x v="608"/>
    <x v="33"/>
    <n v="39"/>
    <x v="0"/>
    <x v="1"/>
    <s v="Mon, Thu, Tue"/>
    <s v="Mon"/>
    <s v="Thu"/>
    <s v="Tue"/>
    <m/>
    <m/>
    <b v="0"/>
    <s v=""/>
    <m/>
    <m/>
    <m/>
    <d v="1899-12-30T18:07:00"/>
    <d v="1899-12-30T20:59:00"/>
    <x v="72"/>
    <b v="1"/>
    <s v="orange, berry_boost"/>
    <s v="orange"/>
    <s v="berry_boost"/>
    <x v="0"/>
    <x v="0"/>
    <x v="1"/>
  </r>
  <r>
    <n v="616"/>
    <x v="1"/>
    <x v="609"/>
    <x v="12"/>
    <n v="37"/>
    <x v="1"/>
    <x v="3"/>
    <s v="Tue, Wed"/>
    <s v="Tue"/>
    <s v="Wed"/>
    <m/>
    <m/>
    <m/>
    <b v="0"/>
    <s v=""/>
    <m/>
    <m/>
    <m/>
    <d v="1899-12-30T11:30:00"/>
    <d v="1899-12-30T12:10:00"/>
    <x v="77"/>
    <b v="1"/>
    <s v="berry_boost"/>
    <s v="berry_boost"/>
    <m/>
    <x v="0"/>
    <x v="0"/>
    <x v="1"/>
  </r>
  <r>
    <n v="617"/>
    <x v="1"/>
    <x v="610"/>
    <x v="8"/>
    <n v="24"/>
    <x v="1"/>
    <x v="0"/>
    <s v="Fri, Sat, Sun, Tue"/>
    <s v="Fri"/>
    <s v="Sat"/>
    <s v="Sun"/>
    <s v="Tue"/>
    <m/>
    <b v="0"/>
    <s v=""/>
    <m/>
    <m/>
    <m/>
    <d v="1899-12-30T15:28:00"/>
    <d v="1899-12-30T16:34:00"/>
    <x v="66"/>
    <b v="0"/>
    <s v=""/>
    <m/>
    <m/>
    <x v="1"/>
    <x v="1"/>
    <x v="1"/>
  </r>
  <r>
    <n v="618"/>
    <x v="1"/>
    <x v="611"/>
    <x v="13"/>
    <n v="37"/>
    <x v="0"/>
    <x v="1"/>
    <s v="Mon, Tue, Wed"/>
    <s v="Mon"/>
    <s v="Tue"/>
    <s v="Wed"/>
    <m/>
    <m/>
    <b v="0"/>
    <s v=""/>
    <m/>
    <m/>
    <m/>
    <d v="1899-12-30T20:35:00"/>
    <d v="1899-12-30T22:58:00"/>
    <x v="83"/>
    <b v="0"/>
    <s v=""/>
    <m/>
    <m/>
    <x v="1"/>
    <x v="3"/>
    <x v="1"/>
  </r>
  <r>
    <n v="619"/>
    <x v="1"/>
    <x v="612"/>
    <x v="27"/>
    <n v="48"/>
    <x v="0"/>
    <x v="1"/>
    <s v="Mon, Sun, Tue"/>
    <s v="Mon"/>
    <s v="Sun"/>
    <s v="Tue"/>
    <m/>
    <m/>
    <b v="0"/>
    <s v=""/>
    <m/>
    <m/>
    <m/>
    <d v="1899-12-30T14:29:00"/>
    <d v="1899-12-30T15:10:00"/>
    <x v="110"/>
    <b v="0"/>
    <s v=""/>
    <m/>
    <m/>
    <x v="1"/>
    <x v="3"/>
    <x v="1"/>
  </r>
  <r>
    <n v="620"/>
    <x v="0"/>
    <x v="613"/>
    <x v="8"/>
    <n v="24"/>
    <x v="1"/>
    <x v="3"/>
    <s v="Thu, Wed"/>
    <s v="Thu"/>
    <s v="Wed"/>
    <m/>
    <m/>
    <m/>
    <b v="1"/>
    <s v="Zumba"/>
    <s v="Zumba"/>
    <m/>
    <m/>
    <d v="1899-12-30T10:26:00"/>
    <d v="1899-12-30T10:58:00"/>
    <x v="105"/>
    <b v="1"/>
    <s v="passion_fruit"/>
    <s v="passion_fruit"/>
    <m/>
    <x v="0"/>
    <x v="0"/>
    <x v="1"/>
  </r>
  <r>
    <n v="621"/>
    <x v="1"/>
    <x v="614"/>
    <x v="22"/>
    <n v="41"/>
    <x v="1"/>
    <x v="2"/>
    <s v="Thu"/>
    <s v="Thu"/>
    <m/>
    <m/>
    <m/>
    <m/>
    <b v="0"/>
    <s v=""/>
    <m/>
    <m/>
    <m/>
    <d v="1899-12-30T10:52:00"/>
    <d v="1899-12-30T12:25:00"/>
    <x v="41"/>
    <b v="1"/>
    <s v="lemon"/>
    <s v="lemon"/>
    <m/>
    <x v="0"/>
    <x v="0"/>
    <x v="0"/>
  </r>
  <r>
    <n v="622"/>
    <x v="0"/>
    <x v="615"/>
    <x v="27"/>
    <n v="48"/>
    <x v="0"/>
    <x v="1"/>
    <s v="Fri, Sat, Thu"/>
    <s v="Fri"/>
    <s v="Sat"/>
    <s v="Thu"/>
    <m/>
    <m/>
    <b v="1"/>
    <s v="Kickboxen, BodyBalance"/>
    <s v="Kickboxen"/>
    <s v="BodyBalance"/>
    <m/>
    <d v="1899-12-30T15:30:00"/>
    <d v="1899-12-30T16:26:00"/>
    <x v="81"/>
    <b v="1"/>
    <s v="coconut_pineapple, black_currant"/>
    <s v="coconut_pineapple"/>
    <s v="black_currant"/>
    <x v="1"/>
    <x v="4"/>
    <x v="1"/>
  </r>
  <r>
    <n v="623"/>
    <x v="0"/>
    <x v="616"/>
    <x v="14"/>
    <n v="13"/>
    <x v="0"/>
    <x v="3"/>
    <s v="Sat, Sun"/>
    <s v="Sat"/>
    <s v="Sun"/>
    <m/>
    <m/>
    <m/>
    <b v="1"/>
    <s v="Yoga, HIT"/>
    <s v="Yoga"/>
    <s v="HIT"/>
    <m/>
    <d v="1899-12-30T08:25:00"/>
    <d v="1899-12-30T09:16:00"/>
    <x v="123"/>
    <b v="1"/>
    <s v="passion_fruit, lemon"/>
    <s v="passion_fruit"/>
    <s v="lemon"/>
    <x v="1"/>
    <x v="3"/>
    <x v="1"/>
  </r>
  <r>
    <n v="624"/>
    <x v="1"/>
    <x v="617"/>
    <x v="4"/>
    <n v="43"/>
    <x v="0"/>
    <x v="1"/>
    <s v="Fri, Thu, Tue"/>
    <s v="Fri"/>
    <s v="Thu"/>
    <s v="Tue"/>
    <m/>
    <m/>
    <b v="0"/>
    <s v=""/>
    <m/>
    <m/>
    <m/>
    <d v="1899-12-30T08:39:00"/>
    <d v="1899-12-30T09:46:00"/>
    <x v="82"/>
    <b v="0"/>
    <s v=""/>
    <m/>
    <m/>
    <x v="0"/>
    <x v="0"/>
    <x v="1"/>
  </r>
  <r>
    <n v="625"/>
    <x v="0"/>
    <x v="618"/>
    <x v="19"/>
    <n v="22"/>
    <x v="0"/>
    <x v="0"/>
    <s v="Fri, Thu, Tue, Wed"/>
    <s v="Fri"/>
    <s v="Thu"/>
    <s v="Tue"/>
    <s v="Wed"/>
    <m/>
    <b v="0"/>
    <s v=""/>
    <m/>
    <m/>
    <m/>
    <d v="1899-12-30T19:28:00"/>
    <d v="1899-12-30T22:18:00"/>
    <x v="52"/>
    <b v="1"/>
    <s v="berry_boost, coconut_pineapple"/>
    <s v="berry_boost"/>
    <s v="coconut_pineapple"/>
    <x v="1"/>
    <x v="4"/>
    <x v="1"/>
  </r>
  <r>
    <n v="626"/>
    <x v="1"/>
    <x v="619"/>
    <x v="7"/>
    <n v="21"/>
    <x v="1"/>
    <x v="4"/>
    <s v="Fri, Mon, Sat, Sun, Wed"/>
    <s v="Fri"/>
    <s v="Mon"/>
    <s v="Sat"/>
    <s v="Sun"/>
    <s v="Wed"/>
    <b v="1"/>
    <s v="LesMiles, Running"/>
    <s v="LesMiles"/>
    <s v="Running"/>
    <m/>
    <d v="1899-12-30T16:57:00"/>
    <d v="1899-12-30T19:32:00"/>
    <x v="142"/>
    <b v="0"/>
    <s v=""/>
    <m/>
    <m/>
    <x v="0"/>
    <x v="0"/>
    <x v="0"/>
  </r>
  <r>
    <n v="627"/>
    <x v="0"/>
    <x v="620"/>
    <x v="25"/>
    <n v="29"/>
    <x v="0"/>
    <x v="3"/>
    <s v="Sat, Tue"/>
    <s v="Sat"/>
    <s v="Tue"/>
    <m/>
    <m/>
    <m/>
    <b v="1"/>
    <s v="Spinning, LesMiles"/>
    <s v="Spinning"/>
    <s v="LesMiles"/>
    <m/>
    <d v="1899-12-30T20:00:00"/>
    <d v="1899-12-30T21:50:00"/>
    <x v="97"/>
    <b v="1"/>
    <s v="black_currant"/>
    <s v="black_currant"/>
    <m/>
    <x v="1"/>
    <x v="1"/>
    <x v="1"/>
  </r>
  <r>
    <n v="628"/>
    <x v="1"/>
    <x v="621"/>
    <x v="33"/>
    <n v="39"/>
    <x v="1"/>
    <x v="3"/>
    <s v="Sat, Sun"/>
    <s v="Sat"/>
    <s v="Sun"/>
    <m/>
    <m/>
    <m/>
    <b v="0"/>
    <s v=""/>
    <m/>
    <m/>
    <m/>
    <d v="1899-12-30T16:53:00"/>
    <d v="1899-12-30T18:08:00"/>
    <x v="125"/>
    <b v="0"/>
    <s v=""/>
    <m/>
    <m/>
    <x v="1"/>
    <x v="2"/>
    <x v="1"/>
  </r>
  <r>
    <n v="629"/>
    <x v="1"/>
    <x v="622"/>
    <x v="31"/>
    <n v="17"/>
    <x v="1"/>
    <x v="1"/>
    <s v="Sat, Thu, Tue"/>
    <s v="Sat"/>
    <s v="Thu"/>
    <s v="Tue"/>
    <m/>
    <m/>
    <b v="0"/>
    <s v=""/>
    <m/>
    <m/>
    <m/>
    <d v="1899-12-30T11:02:00"/>
    <d v="1899-12-30T12:24:00"/>
    <x v="42"/>
    <b v="0"/>
    <s v=""/>
    <m/>
    <m/>
    <x v="1"/>
    <x v="1"/>
    <x v="0"/>
  </r>
  <r>
    <n v="630"/>
    <x v="1"/>
    <x v="623"/>
    <x v="19"/>
    <n v="21"/>
    <x v="1"/>
    <x v="4"/>
    <s v="Fri, Mon, Sat, Sun, Tue"/>
    <s v="Fri"/>
    <s v="Mon"/>
    <s v="Sat"/>
    <s v="Sun"/>
    <s v="Tue"/>
    <b v="0"/>
    <s v=""/>
    <m/>
    <m/>
    <m/>
    <d v="1899-12-30T14:29:00"/>
    <d v="1899-12-30T16:01:00"/>
    <x v="8"/>
    <b v="1"/>
    <s v="orange, black_currant"/>
    <s v="orange"/>
    <s v="black_currant"/>
    <x v="1"/>
    <x v="1"/>
    <x v="0"/>
  </r>
  <r>
    <n v="631"/>
    <x v="0"/>
    <x v="624"/>
    <x v="26"/>
    <n v="28"/>
    <x v="1"/>
    <x v="1"/>
    <s v="Sat, Thu, Wed"/>
    <s v="Sat"/>
    <s v="Thu"/>
    <s v="Wed"/>
    <m/>
    <m/>
    <b v="0"/>
    <s v=""/>
    <m/>
    <m/>
    <m/>
    <d v="1899-12-30T08:50:00"/>
    <d v="1899-12-30T11:20:00"/>
    <x v="98"/>
    <b v="0"/>
    <s v=""/>
    <m/>
    <m/>
    <x v="1"/>
    <x v="4"/>
    <x v="1"/>
  </r>
  <r>
    <n v="632"/>
    <x v="1"/>
    <x v="625"/>
    <x v="13"/>
    <n v="37"/>
    <x v="0"/>
    <x v="2"/>
    <s v="Sun"/>
    <s v="Sun"/>
    <m/>
    <m/>
    <m/>
    <m/>
    <b v="1"/>
    <s v="Zumba, LesMiles"/>
    <s v="Zumba"/>
    <s v="LesMiles"/>
    <m/>
    <d v="1899-12-30T12:16:00"/>
    <d v="1899-12-30T13:41:00"/>
    <x v="87"/>
    <b v="0"/>
    <s v=""/>
    <m/>
    <m/>
    <x v="0"/>
    <x v="0"/>
    <x v="0"/>
  </r>
  <r>
    <n v="633"/>
    <x v="0"/>
    <x v="626"/>
    <x v="9"/>
    <n v="27"/>
    <x v="0"/>
    <x v="4"/>
    <s v="Fri, Mon, Sat, Tue, Wed"/>
    <s v="Fri"/>
    <s v="Mon"/>
    <s v="Sat"/>
    <s v="Tue"/>
    <s v="Wed"/>
    <b v="1"/>
    <s v="Running"/>
    <s v="Running"/>
    <m/>
    <m/>
    <d v="1899-12-30T14:42:00"/>
    <d v="1899-12-30T15:53:00"/>
    <x v="45"/>
    <b v="0"/>
    <s v=""/>
    <m/>
    <m/>
    <x v="0"/>
    <x v="0"/>
    <x v="1"/>
  </r>
  <r>
    <n v="634"/>
    <x v="0"/>
    <x v="627"/>
    <x v="8"/>
    <n v="24"/>
    <x v="0"/>
    <x v="2"/>
    <s v="Sat"/>
    <s v="Sat"/>
    <m/>
    <m/>
    <m/>
    <m/>
    <b v="0"/>
    <s v=""/>
    <m/>
    <m/>
    <m/>
    <d v="1899-12-30T16:51:00"/>
    <d v="1899-12-30T18:31:00"/>
    <x v="89"/>
    <b v="0"/>
    <s v=""/>
    <m/>
    <m/>
    <x v="1"/>
    <x v="2"/>
    <x v="0"/>
  </r>
  <r>
    <n v="635"/>
    <x v="0"/>
    <x v="628"/>
    <x v="23"/>
    <n v="18"/>
    <x v="0"/>
    <x v="2"/>
    <s v="Fri"/>
    <s v="Fri"/>
    <m/>
    <m/>
    <m/>
    <m/>
    <b v="0"/>
    <s v=""/>
    <m/>
    <m/>
    <m/>
    <d v="1899-12-30T09:13:00"/>
    <d v="1899-12-30T11:43:00"/>
    <x v="98"/>
    <b v="1"/>
    <s v="lemon"/>
    <s v="lemon"/>
    <m/>
    <x v="1"/>
    <x v="4"/>
    <x v="0"/>
  </r>
  <r>
    <n v="636"/>
    <x v="0"/>
    <x v="629"/>
    <x v="9"/>
    <n v="26"/>
    <x v="1"/>
    <x v="1"/>
    <s v="Sun, Tue, Wed"/>
    <s v="Sun"/>
    <s v="Tue"/>
    <s v="Wed"/>
    <m/>
    <m/>
    <b v="1"/>
    <s v="XCore, BodyPump"/>
    <s v="XCore"/>
    <s v="BodyPump"/>
    <m/>
    <d v="1899-12-30T13:24:00"/>
    <d v="1899-12-30T15:53:00"/>
    <x v="18"/>
    <b v="1"/>
    <s v="passion_fruit, berry_boost"/>
    <s v="passion_fruit"/>
    <s v="berry_boost"/>
    <x v="1"/>
    <x v="2"/>
    <x v="1"/>
  </r>
  <r>
    <n v="637"/>
    <x v="1"/>
    <x v="630"/>
    <x v="30"/>
    <n v="23"/>
    <x v="1"/>
    <x v="2"/>
    <s v="Tue"/>
    <s v="Tue"/>
    <m/>
    <m/>
    <m/>
    <m/>
    <b v="0"/>
    <s v=""/>
    <m/>
    <m/>
    <m/>
    <d v="1899-12-30T10:01:00"/>
    <d v="1899-12-30T12:28:00"/>
    <x v="51"/>
    <b v="0"/>
    <s v=""/>
    <m/>
    <m/>
    <x v="0"/>
    <x v="0"/>
    <x v="1"/>
  </r>
  <r>
    <n v="638"/>
    <x v="0"/>
    <x v="631"/>
    <x v="23"/>
    <n v="18"/>
    <x v="0"/>
    <x v="3"/>
    <s v="Mon, Sat"/>
    <s v="Mon"/>
    <s v="Sat"/>
    <m/>
    <m/>
    <m/>
    <b v="0"/>
    <s v=""/>
    <m/>
    <m/>
    <m/>
    <d v="1899-12-30T19:45:00"/>
    <d v="1899-12-30T22:44:00"/>
    <x v="120"/>
    <b v="0"/>
    <s v=""/>
    <m/>
    <m/>
    <x v="1"/>
    <x v="1"/>
    <x v="1"/>
  </r>
  <r>
    <n v="639"/>
    <x v="0"/>
    <x v="632"/>
    <x v="8"/>
    <n v="25"/>
    <x v="0"/>
    <x v="0"/>
    <s v="Fri, Thu, Tue, Wed"/>
    <s v="Fri"/>
    <s v="Thu"/>
    <s v="Tue"/>
    <s v="Wed"/>
    <m/>
    <b v="1"/>
    <s v="Kickboxen, BodyPump, HIT"/>
    <s v="Kickboxen"/>
    <s v="BodyPump"/>
    <s v="HIT"/>
    <d v="1899-12-30T09:25:00"/>
    <d v="1899-12-30T10:36:00"/>
    <x v="45"/>
    <b v="0"/>
    <s v=""/>
    <m/>
    <m/>
    <x v="0"/>
    <x v="0"/>
    <x v="0"/>
  </r>
  <r>
    <n v="640"/>
    <x v="0"/>
    <x v="633"/>
    <x v="31"/>
    <n v="17"/>
    <x v="0"/>
    <x v="4"/>
    <s v="Mon, Sat, Sun, Tue, Wed"/>
    <s v="Mon"/>
    <s v="Sat"/>
    <s v="Sun"/>
    <s v="Tue"/>
    <s v="Wed"/>
    <b v="1"/>
    <s v="BodyBalance, Kickboxen"/>
    <s v="BodyBalance"/>
    <s v="Kickboxen"/>
    <m/>
    <d v="1899-12-30T10:00:00"/>
    <d v="1899-12-30T11:55:00"/>
    <x v="103"/>
    <b v="1"/>
    <s v="orange"/>
    <s v="orange"/>
    <m/>
    <x v="0"/>
    <x v="0"/>
    <x v="1"/>
  </r>
  <r>
    <n v="641"/>
    <x v="0"/>
    <x v="634"/>
    <x v="38"/>
    <n v="25"/>
    <x v="0"/>
    <x v="2"/>
    <s v="Tue"/>
    <s v="Tue"/>
    <m/>
    <m/>
    <m/>
    <m/>
    <b v="0"/>
    <s v=""/>
    <m/>
    <m/>
    <m/>
    <d v="1899-12-30T08:37:00"/>
    <d v="1899-12-30T10:52:00"/>
    <x v="33"/>
    <b v="1"/>
    <s v="lemon, passion_fruit"/>
    <s v="lemon"/>
    <s v="passion_fruit"/>
    <x v="1"/>
    <x v="1"/>
    <x v="1"/>
  </r>
  <r>
    <n v="642"/>
    <x v="0"/>
    <x v="635"/>
    <x v="21"/>
    <n v="47"/>
    <x v="1"/>
    <x v="3"/>
    <s v="Fri, Mon"/>
    <s v="Fri"/>
    <s v="Mon"/>
    <m/>
    <m/>
    <m/>
    <b v="1"/>
    <s v="Yoga, Spinning, XCore"/>
    <s v="Yoga"/>
    <s v="Spinning"/>
    <s v="XCore"/>
    <d v="1899-12-30T12:42:00"/>
    <d v="1899-12-30T13:37:00"/>
    <x v="138"/>
    <b v="1"/>
    <s v="berry_boost, orange"/>
    <s v="berry_boost"/>
    <s v="orange"/>
    <x v="1"/>
    <x v="2"/>
    <x v="0"/>
  </r>
  <r>
    <n v="643"/>
    <x v="1"/>
    <x v="636"/>
    <x v="38"/>
    <n v="25"/>
    <x v="0"/>
    <x v="3"/>
    <s v="Thu, Wed"/>
    <s v="Thu"/>
    <s v="Wed"/>
    <m/>
    <m/>
    <m/>
    <b v="1"/>
    <s v="HIT, LesMiles"/>
    <s v="HIT"/>
    <s v="LesMiles"/>
    <m/>
    <d v="1899-12-30T20:31:00"/>
    <d v="1899-12-30T21:08:00"/>
    <x v="91"/>
    <b v="0"/>
    <s v=""/>
    <m/>
    <m/>
    <x v="1"/>
    <x v="3"/>
    <x v="0"/>
  </r>
  <r>
    <n v="644"/>
    <x v="0"/>
    <x v="637"/>
    <x v="17"/>
    <n v="14"/>
    <x v="0"/>
    <x v="4"/>
    <s v="Fri, Mon, Sat, Sun, Wed"/>
    <s v="Fri"/>
    <s v="Mon"/>
    <s v="Sat"/>
    <s v="Sun"/>
    <s v="Wed"/>
    <b v="1"/>
    <s v="Running, LesMiles"/>
    <s v="Running"/>
    <s v="LesMiles"/>
    <m/>
    <d v="1899-12-30T12:54:00"/>
    <d v="1899-12-30T15:10:00"/>
    <x v="39"/>
    <b v="1"/>
    <s v="coconut_pineapple"/>
    <s v="coconut_pineapple"/>
    <m/>
    <x v="1"/>
    <x v="1"/>
    <x v="0"/>
  </r>
  <r>
    <n v="645"/>
    <x v="1"/>
    <x v="638"/>
    <x v="14"/>
    <n v="14"/>
    <x v="0"/>
    <x v="1"/>
    <s v="Fri, Mon, Wed"/>
    <s v="Fri"/>
    <s v="Mon"/>
    <s v="Wed"/>
    <m/>
    <m/>
    <b v="1"/>
    <s v="BodyBalance"/>
    <s v="BodyBalance"/>
    <m/>
    <m/>
    <d v="1899-12-30T17:23:00"/>
    <d v="1899-12-30T18:22:00"/>
    <x v="112"/>
    <b v="1"/>
    <s v="lemon"/>
    <s v="lemon"/>
    <m/>
    <x v="0"/>
    <x v="0"/>
    <x v="0"/>
  </r>
  <r>
    <n v="646"/>
    <x v="1"/>
    <x v="241"/>
    <x v="36"/>
    <n v="49"/>
    <x v="0"/>
    <x v="1"/>
    <s v="Fri, Sun, Thu"/>
    <s v="Fri"/>
    <s v="Sun"/>
    <s v="Thu"/>
    <m/>
    <m/>
    <b v="0"/>
    <s v=""/>
    <m/>
    <m/>
    <m/>
    <d v="1899-12-30T17:16:00"/>
    <d v="1899-12-30T19:52:00"/>
    <x v="78"/>
    <b v="1"/>
    <s v="passion_fruit"/>
    <s v="passion_fruit"/>
    <m/>
    <x v="0"/>
    <x v="0"/>
    <x v="1"/>
  </r>
  <r>
    <n v="647"/>
    <x v="1"/>
    <x v="639"/>
    <x v="8"/>
    <n v="24"/>
    <x v="1"/>
    <x v="3"/>
    <s v="Sun, Tue"/>
    <s v="Sun"/>
    <s v="Tue"/>
    <m/>
    <m/>
    <m/>
    <b v="1"/>
    <s v="Yoga"/>
    <s v="Yoga"/>
    <m/>
    <m/>
    <d v="1899-12-30T18:58:00"/>
    <d v="1899-12-30T19:40:00"/>
    <x v="75"/>
    <b v="1"/>
    <s v="lemon, berry_boost"/>
    <s v="lemon"/>
    <s v="berry_boost"/>
    <x v="0"/>
    <x v="0"/>
    <x v="0"/>
  </r>
  <r>
    <n v="648"/>
    <x v="0"/>
    <x v="640"/>
    <x v="38"/>
    <n v="26"/>
    <x v="1"/>
    <x v="2"/>
    <s v="Sat"/>
    <s v="Sat"/>
    <m/>
    <m/>
    <m/>
    <m/>
    <b v="1"/>
    <s v="Kickboxen, BodyPump"/>
    <s v="Kickboxen"/>
    <s v="BodyPump"/>
    <m/>
    <d v="1899-12-30T12:44:00"/>
    <d v="1899-12-30T13:40:00"/>
    <x v="81"/>
    <b v="0"/>
    <s v=""/>
    <m/>
    <m/>
    <x v="0"/>
    <x v="0"/>
    <x v="1"/>
  </r>
  <r>
    <n v="649"/>
    <x v="0"/>
    <x v="641"/>
    <x v="29"/>
    <n v="22"/>
    <x v="1"/>
    <x v="4"/>
    <s v="Fri, Mon, Sun, Tue, Wed"/>
    <s v="Fri"/>
    <s v="Mon"/>
    <s v="Sun"/>
    <s v="Tue"/>
    <s v="Wed"/>
    <b v="0"/>
    <s v=""/>
    <m/>
    <m/>
    <m/>
    <d v="1899-12-30T13:50:00"/>
    <d v="1899-12-30T15:37:00"/>
    <x v="34"/>
    <b v="0"/>
    <s v=""/>
    <m/>
    <m/>
    <x v="0"/>
    <x v="0"/>
    <x v="1"/>
  </r>
  <r>
    <n v="650"/>
    <x v="1"/>
    <x v="642"/>
    <x v="37"/>
    <n v="12"/>
    <x v="0"/>
    <x v="1"/>
    <s v="Fri, Mon, Wed"/>
    <s v="Fri"/>
    <s v="Mon"/>
    <s v="Wed"/>
    <m/>
    <m/>
    <b v="1"/>
    <s v="Kickboxen, HIT"/>
    <s v="Kickboxen"/>
    <s v="HIT"/>
    <m/>
    <d v="1899-12-30T14:54:00"/>
    <d v="1899-12-30T16:52:00"/>
    <x v="24"/>
    <b v="0"/>
    <s v=""/>
    <m/>
    <m/>
    <x v="0"/>
    <x v="0"/>
    <x v="1"/>
  </r>
  <r>
    <n v="651"/>
    <x v="1"/>
    <x v="643"/>
    <x v="14"/>
    <n v="14"/>
    <x v="0"/>
    <x v="0"/>
    <s v="Mon, Sun, Thu, Wed"/>
    <s v="Mon"/>
    <s v="Sun"/>
    <s v="Thu"/>
    <s v="Wed"/>
    <m/>
    <b v="0"/>
    <s v=""/>
    <m/>
    <m/>
    <m/>
    <d v="1899-12-30T20:36:00"/>
    <d v="1899-12-30T22:20:00"/>
    <x v="79"/>
    <b v="1"/>
    <s v="passion_fruit"/>
    <s v="passion_fruit"/>
    <m/>
    <x v="0"/>
    <x v="0"/>
    <x v="1"/>
  </r>
  <r>
    <n v="652"/>
    <x v="1"/>
    <x v="644"/>
    <x v="23"/>
    <n v="18"/>
    <x v="0"/>
    <x v="1"/>
    <s v="Mon, Sat, Sun"/>
    <s v="Mon"/>
    <s v="Sat"/>
    <s v="Sun"/>
    <m/>
    <m/>
    <b v="0"/>
    <s v=""/>
    <m/>
    <m/>
    <m/>
    <d v="1899-12-30T11:06:00"/>
    <d v="1899-12-30T13:25:00"/>
    <x v="136"/>
    <b v="0"/>
    <s v=""/>
    <m/>
    <m/>
    <x v="0"/>
    <x v="0"/>
    <x v="1"/>
  </r>
  <r>
    <n v="653"/>
    <x v="1"/>
    <x v="645"/>
    <x v="9"/>
    <n v="26"/>
    <x v="1"/>
    <x v="1"/>
    <s v="Mon, Sun, Thu"/>
    <s v="Mon"/>
    <s v="Sun"/>
    <s v="Thu"/>
    <m/>
    <m/>
    <b v="0"/>
    <s v=""/>
    <m/>
    <m/>
    <m/>
    <d v="1899-12-30T13:11:00"/>
    <d v="1899-12-30T14:21:00"/>
    <x v="96"/>
    <b v="0"/>
    <s v=""/>
    <m/>
    <m/>
    <x v="0"/>
    <x v="0"/>
    <x v="1"/>
  </r>
  <r>
    <n v="654"/>
    <x v="1"/>
    <x v="646"/>
    <x v="1"/>
    <n v="46"/>
    <x v="0"/>
    <x v="2"/>
    <s v="Sun"/>
    <s v="Sun"/>
    <m/>
    <m/>
    <m/>
    <m/>
    <b v="0"/>
    <s v=""/>
    <m/>
    <m/>
    <m/>
    <d v="1899-12-30T14:38:00"/>
    <d v="1899-12-30T17:21:00"/>
    <x v="61"/>
    <b v="1"/>
    <s v="orange, passion_fruit"/>
    <s v="orange"/>
    <s v="passion_fruit"/>
    <x v="0"/>
    <x v="0"/>
    <x v="0"/>
  </r>
  <r>
    <n v="655"/>
    <x v="1"/>
    <x v="647"/>
    <x v="26"/>
    <n v="28"/>
    <x v="1"/>
    <x v="3"/>
    <s v="Fri, Mon"/>
    <s v="Fri"/>
    <s v="Mon"/>
    <m/>
    <m/>
    <m/>
    <b v="0"/>
    <s v=""/>
    <m/>
    <m/>
    <m/>
    <d v="1899-12-30T09:20:00"/>
    <d v="1899-12-30T11:57:00"/>
    <x v="147"/>
    <b v="0"/>
    <s v=""/>
    <m/>
    <m/>
    <x v="1"/>
    <x v="3"/>
    <x v="0"/>
  </r>
  <r>
    <n v="656"/>
    <x v="1"/>
    <x v="648"/>
    <x v="35"/>
    <n v="13"/>
    <x v="1"/>
    <x v="4"/>
    <s v="Fri, Mon, Sat, Sun, Thu"/>
    <s v="Fri"/>
    <s v="Mon"/>
    <s v="Sat"/>
    <s v="Sun"/>
    <s v="Thu"/>
    <b v="1"/>
    <s v="Yoga, BodyBalance, HIT"/>
    <s v="Yoga"/>
    <s v="BodyBalance"/>
    <s v="HIT"/>
    <d v="1899-12-30T17:13:00"/>
    <d v="1899-12-30T19:00:00"/>
    <x v="34"/>
    <b v="0"/>
    <s v=""/>
    <m/>
    <m/>
    <x v="0"/>
    <x v="0"/>
    <x v="1"/>
  </r>
  <r>
    <n v="657"/>
    <x v="1"/>
    <x v="649"/>
    <x v="22"/>
    <n v="40"/>
    <x v="0"/>
    <x v="3"/>
    <s v="Mon, Sat"/>
    <s v="Mon"/>
    <s v="Sat"/>
    <m/>
    <m/>
    <m/>
    <b v="1"/>
    <s v="BodyPump, Pilates"/>
    <s v="BodyPump"/>
    <s v="Pilates"/>
    <m/>
    <d v="1899-12-30T14:58:00"/>
    <d v="1899-12-30T16:42:00"/>
    <x v="79"/>
    <b v="0"/>
    <s v=""/>
    <m/>
    <m/>
    <x v="0"/>
    <x v="0"/>
    <x v="0"/>
  </r>
  <r>
    <n v="658"/>
    <x v="1"/>
    <x v="650"/>
    <x v="38"/>
    <n v="25"/>
    <x v="1"/>
    <x v="0"/>
    <s v="Fri, Mon, Tue, Wed"/>
    <s v="Fri"/>
    <s v="Mon"/>
    <s v="Tue"/>
    <s v="Wed"/>
    <m/>
    <b v="0"/>
    <s v=""/>
    <m/>
    <m/>
    <m/>
    <d v="1899-12-30T19:23:00"/>
    <d v="1899-12-30T20:48:00"/>
    <x v="87"/>
    <b v="0"/>
    <s v=""/>
    <m/>
    <m/>
    <x v="0"/>
    <x v="0"/>
    <x v="0"/>
  </r>
  <r>
    <n v="659"/>
    <x v="0"/>
    <x v="651"/>
    <x v="31"/>
    <n v="17"/>
    <x v="1"/>
    <x v="1"/>
    <s v="Fri, Sat, Sun"/>
    <s v="Fri"/>
    <s v="Sat"/>
    <s v="Sun"/>
    <m/>
    <m/>
    <b v="0"/>
    <s v=""/>
    <m/>
    <m/>
    <m/>
    <d v="1899-12-30T18:02:00"/>
    <d v="1899-12-30T19:49:00"/>
    <x v="34"/>
    <b v="0"/>
    <s v=""/>
    <m/>
    <m/>
    <x v="0"/>
    <x v="0"/>
    <x v="0"/>
  </r>
  <r>
    <n v="660"/>
    <x v="1"/>
    <x v="652"/>
    <x v="21"/>
    <n v="47"/>
    <x v="0"/>
    <x v="3"/>
    <s v="Fri, Sun"/>
    <s v="Fri"/>
    <s v="Sun"/>
    <m/>
    <m/>
    <m/>
    <b v="0"/>
    <s v=""/>
    <m/>
    <m/>
    <m/>
    <d v="1899-12-30T09:58:00"/>
    <d v="1899-12-30T12:31:00"/>
    <x v="117"/>
    <b v="0"/>
    <s v=""/>
    <m/>
    <m/>
    <x v="0"/>
    <x v="0"/>
    <x v="0"/>
  </r>
  <r>
    <n v="661"/>
    <x v="1"/>
    <x v="653"/>
    <x v="17"/>
    <n v="14"/>
    <x v="1"/>
    <x v="1"/>
    <s v="Sat, Sun, Thu"/>
    <s v="Sat"/>
    <s v="Sun"/>
    <s v="Thu"/>
    <m/>
    <m/>
    <b v="1"/>
    <s v="XCore, Pilates, LesMiles"/>
    <s v="XCore"/>
    <s v="Pilates"/>
    <s v="LesMiles"/>
    <d v="1899-12-30T17:02:00"/>
    <d v="1899-12-30T17:32:00"/>
    <x v="46"/>
    <b v="0"/>
    <s v=""/>
    <m/>
    <m/>
    <x v="0"/>
    <x v="0"/>
    <x v="1"/>
  </r>
  <r>
    <n v="662"/>
    <x v="1"/>
    <x v="654"/>
    <x v="15"/>
    <n v="38"/>
    <x v="0"/>
    <x v="3"/>
    <s v="Mon, Wed"/>
    <s v="Mon"/>
    <s v="Wed"/>
    <m/>
    <m/>
    <m/>
    <b v="1"/>
    <s v="Kickboxen, XCore"/>
    <s v="Kickboxen"/>
    <s v="XCore"/>
    <m/>
    <d v="1899-12-30T11:41:00"/>
    <d v="1899-12-30T12:14:00"/>
    <x v="11"/>
    <b v="1"/>
    <s v="lemon, coconut_pineapple"/>
    <s v="lemon"/>
    <s v="coconut_pineapple"/>
    <x v="1"/>
    <x v="4"/>
    <x v="1"/>
  </r>
  <r>
    <n v="663"/>
    <x v="0"/>
    <x v="655"/>
    <x v="34"/>
    <n v="32"/>
    <x v="1"/>
    <x v="1"/>
    <s v="Sat, Sun, Thu"/>
    <s v="Sat"/>
    <s v="Sun"/>
    <s v="Thu"/>
    <m/>
    <m/>
    <b v="0"/>
    <s v=""/>
    <m/>
    <m/>
    <m/>
    <d v="1899-12-30T14:01:00"/>
    <d v="1899-12-30T16:17:00"/>
    <x v="39"/>
    <b v="0"/>
    <s v=""/>
    <m/>
    <m/>
    <x v="0"/>
    <x v="0"/>
    <x v="1"/>
  </r>
  <r>
    <n v="664"/>
    <x v="0"/>
    <x v="656"/>
    <x v="14"/>
    <n v="13"/>
    <x v="1"/>
    <x v="2"/>
    <s v="Thu"/>
    <s v="Thu"/>
    <m/>
    <m/>
    <m/>
    <m/>
    <b v="0"/>
    <s v=""/>
    <m/>
    <m/>
    <m/>
    <d v="1899-12-30T10:20:00"/>
    <d v="1899-12-30T10:57:00"/>
    <x v="91"/>
    <b v="1"/>
    <s v="coconut_pineapple"/>
    <s v="coconut_pineapple"/>
    <m/>
    <x v="0"/>
    <x v="0"/>
    <x v="0"/>
  </r>
  <r>
    <n v="665"/>
    <x v="0"/>
    <x v="657"/>
    <x v="2"/>
    <n v="41"/>
    <x v="1"/>
    <x v="2"/>
    <s v="Fri"/>
    <s v="Fri"/>
    <m/>
    <m/>
    <m/>
    <m/>
    <b v="1"/>
    <s v="BodyPump"/>
    <s v="BodyPump"/>
    <m/>
    <m/>
    <d v="1899-12-30T11:45:00"/>
    <d v="1899-12-30T12:38:00"/>
    <x v="69"/>
    <b v="1"/>
    <s v="coconut_pineapple, black_currant"/>
    <s v="coconut_pineapple"/>
    <s v="black_currant"/>
    <x v="1"/>
    <x v="1"/>
    <x v="1"/>
  </r>
  <r>
    <n v="666"/>
    <x v="0"/>
    <x v="203"/>
    <x v="18"/>
    <n v="19"/>
    <x v="0"/>
    <x v="3"/>
    <s v="Mon, Wed"/>
    <s v="Mon"/>
    <s v="Wed"/>
    <m/>
    <m/>
    <m/>
    <b v="1"/>
    <s v="Pilates"/>
    <s v="Pilates"/>
    <m/>
    <m/>
    <d v="1899-12-30T10:42:00"/>
    <d v="1899-12-30T13:29:00"/>
    <x v="17"/>
    <b v="0"/>
    <s v=""/>
    <m/>
    <m/>
    <x v="1"/>
    <x v="2"/>
    <x v="1"/>
  </r>
  <r>
    <n v="667"/>
    <x v="1"/>
    <x v="658"/>
    <x v="27"/>
    <n v="48"/>
    <x v="0"/>
    <x v="3"/>
    <s v="Fri, Tue"/>
    <s v="Fri"/>
    <s v="Tue"/>
    <m/>
    <m/>
    <m/>
    <b v="1"/>
    <s v="Spinning, Pilates"/>
    <s v="Spinning"/>
    <s v="Pilates"/>
    <m/>
    <d v="1899-12-30T11:46:00"/>
    <d v="1899-12-30T13:17:00"/>
    <x v="26"/>
    <b v="1"/>
    <s v="black_currant, coconut_pineapple"/>
    <s v="black_currant"/>
    <s v="coconut_pineapple"/>
    <x v="0"/>
    <x v="0"/>
    <x v="0"/>
  </r>
  <r>
    <n v="668"/>
    <x v="0"/>
    <x v="659"/>
    <x v="10"/>
    <n v="35"/>
    <x v="1"/>
    <x v="1"/>
    <s v="Fri, Mon, Sun"/>
    <s v="Fri"/>
    <s v="Mon"/>
    <s v="Sun"/>
    <m/>
    <m/>
    <b v="1"/>
    <s v="Pilates"/>
    <s v="Pilates"/>
    <m/>
    <m/>
    <d v="1899-12-30T15:00:00"/>
    <d v="1899-12-30T17:29:00"/>
    <x v="18"/>
    <b v="1"/>
    <s v="berry_boost"/>
    <s v="berry_boost"/>
    <m/>
    <x v="0"/>
    <x v="0"/>
    <x v="0"/>
  </r>
  <r>
    <n v="669"/>
    <x v="0"/>
    <x v="660"/>
    <x v="33"/>
    <n v="39"/>
    <x v="1"/>
    <x v="4"/>
    <s v="Mon, Sun, Thu, Tue, Wed"/>
    <s v="Mon"/>
    <s v="Sun"/>
    <s v="Thu"/>
    <s v="Tue"/>
    <s v="Wed"/>
    <b v="1"/>
    <s v="HIT"/>
    <s v="HIT"/>
    <m/>
    <m/>
    <d v="1899-12-30T19:04:00"/>
    <d v="1899-12-30T20:02:00"/>
    <x v="35"/>
    <b v="1"/>
    <s v="lemon"/>
    <s v="lemon"/>
    <m/>
    <x v="0"/>
    <x v="0"/>
    <x v="0"/>
  </r>
  <r>
    <n v="670"/>
    <x v="0"/>
    <x v="661"/>
    <x v="30"/>
    <n v="23"/>
    <x v="0"/>
    <x v="0"/>
    <s v="Fri, Sat, Sun, Tue"/>
    <s v="Fri"/>
    <s v="Sat"/>
    <s v="Sun"/>
    <s v="Tue"/>
    <m/>
    <b v="1"/>
    <s v="Spinning, BodyBalance, Zumba"/>
    <s v="Spinning"/>
    <s v="BodyBalance"/>
    <s v="Zumba"/>
    <d v="1899-12-30T09:17:00"/>
    <d v="1899-12-30T09:49:00"/>
    <x v="105"/>
    <b v="0"/>
    <s v=""/>
    <m/>
    <m/>
    <x v="0"/>
    <x v="0"/>
    <x v="1"/>
  </r>
  <r>
    <n v="671"/>
    <x v="1"/>
    <x v="662"/>
    <x v="33"/>
    <n v="39"/>
    <x v="0"/>
    <x v="1"/>
    <s v="Sun, Thu, Wed"/>
    <s v="Sun"/>
    <s v="Thu"/>
    <s v="Wed"/>
    <m/>
    <m/>
    <b v="0"/>
    <s v=""/>
    <m/>
    <m/>
    <m/>
    <d v="1899-12-30T12:36:00"/>
    <d v="1899-12-30T14:19:00"/>
    <x v="60"/>
    <b v="0"/>
    <s v=""/>
    <m/>
    <m/>
    <x v="1"/>
    <x v="1"/>
    <x v="1"/>
  </r>
  <r>
    <n v="672"/>
    <x v="1"/>
    <x v="663"/>
    <x v="21"/>
    <n v="47"/>
    <x v="1"/>
    <x v="3"/>
    <s v="Sun, Wed"/>
    <s v="Sun"/>
    <s v="Wed"/>
    <m/>
    <m/>
    <m/>
    <b v="1"/>
    <s v="LesMiles"/>
    <s v="LesMiles"/>
    <m/>
    <m/>
    <d v="1899-12-30T08:13:00"/>
    <d v="1899-12-30T10:18:00"/>
    <x v="62"/>
    <b v="0"/>
    <s v=""/>
    <m/>
    <m/>
    <x v="1"/>
    <x v="3"/>
    <x v="0"/>
  </r>
  <r>
    <n v="673"/>
    <x v="0"/>
    <x v="664"/>
    <x v="17"/>
    <n v="14"/>
    <x v="0"/>
    <x v="4"/>
    <s v="Sat, Sun, Thu, Tue, Wed"/>
    <s v="Sat"/>
    <s v="Sun"/>
    <s v="Thu"/>
    <s v="Tue"/>
    <s v="Wed"/>
    <b v="1"/>
    <s v="Yoga, BodyBalance, Zumba"/>
    <s v="Yoga"/>
    <s v="BodyBalance"/>
    <s v="Zumba"/>
    <d v="1899-12-30T10:49:00"/>
    <d v="1899-12-30T12:40:00"/>
    <x v="148"/>
    <b v="1"/>
    <s v="lemon"/>
    <s v="lemon"/>
    <m/>
    <x v="0"/>
    <x v="0"/>
    <x v="1"/>
  </r>
  <r>
    <n v="674"/>
    <x v="1"/>
    <x v="665"/>
    <x v="17"/>
    <n v="14"/>
    <x v="1"/>
    <x v="4"/>
    <s v="Sat, Sun, Thu, Tue, Wed"/>
    <s v="Sat"/>
    <s v="Sun"/>
    <s v="Thu"/>
    <s v="Tue"/>
    <s v="Wed"/>
    <b v="1"/>
    <s v="HIT, BodyPump, BodyBalance"/>
    <s v="HIT"/>
    <s v="BodyPump"/>
    <s v="BodyBalance"/>
    <d v="1899-12-30T20:16:00"/>
    <d v="1899-12-30T22:33:00"/>
    <x v="40"/>
    <b v="0"/>
    <s v=""/>
    <m/>
    <m/>
    <x v="0"/>
    <x v="0"/>
    <x v="0"/>
  </r>
  <r>
    <n v="675"/>
    <x v="0"/>
    <x v="666"/>
    <x v="2"/>
    <n v="41"/>
    <x v="1"/>
    <x v="2"/>
    <s v="Sun"/>
    <s v="Sun"/>
    <m/>
    <m/>
    <m/>
    <m/>
    <b v="0"/>
    <s v=""/>
    <m/>
    <m/>
    <m/>
    <d v="1899-12-30T11:52:00"/>
    <d v="1899-12-30T12:53:00"/>
    <x v="13"/>
    <b v="0"/>
    <s v=""/>
    <m/>
    <m/>
    <x v="0"/>
    <x v="0"/>
    <x v="1"/>
  </r>
  <r>
    <n v="676"/>
    <x v="0"/>
    <x v="667"/>
    <x v="3"/>
    <n v="44"/>
    <x v="1"/>
    <x v="2"/>
    <s v="Wed"/>
    <s v="Wed"/>
    <m/>
    <m/>
    <m/>
    <m/>
    <b v="1"/>
    <s v="Yoga, BodyPump, BodyBalance"/>
    <s v="Yoga"/>
    <s v="BodyPump"/>
    <s v="BodyBalance"/>
    <d v="1899-12-30T08:17:00"/>
    <d v="1899-12-30T09:23:00"/>
    <x v="66"/>
    <b v="1"/>
    <s v="berry_boost, orange"/>
    <s v="berry_boost"/>
    <s v="orange"/>
    <x v="1"/>
    <x v="3"/>
    <x v="1"/>
  </r>
  <r>
    <n v="677"/>
    <x v="0"/>
    <x v="668"/>
    <x v="8"/>
    <n v="24"/>
    <x v="0"/>
    <x v="4"/>
    <s v="Fri, Sat, Sun, Thu, Wed"/>
    <s v="Fri"/>
    <s v="Sat"/>
    <s v="Sun"/>
    <s v="Thu"/>
    <s v="Wed"/>
    <b v="1"/>
    <s v="BodyPump, Kickboxen"/>
    <s v="BodyPump"/>
    <s v="Kickboxen"/>
    <m/>
    <d v="1899-12-30T09:06:00"/>
    <d v="1899-12-30T10:19:00"/>
    <x v="86"/>
    <b v="1"/>
    <s v="passion_fruit, orange"/>
    <s v="passion_fruit"/>
    <s v="orange"/>
    <x v="0"/>
    <x v="0"/>
    <x v="0"/>
  </r>
  <r>
    <n v="678"/>
    <x v="0"/>
    <x v="669"/>
    <x v="33"/>
    <n v="39"/>
    <x v="1"/>
    <x v="0"/>
    <s v="Sat, Sun, Tue, Wed"/>
    <s v="Sat"/>
    <s v="Sun"/>
    <s v="Tue"/>
    <s v="Wed"/>
    <m/>
    <b v="0"/>
    <s v=""/>
    <m/>
    <m/>
    <m/>
    <d v="1899-12-30T13:57:00"/>
    <d v="1899-12-30T15:41:00"/>
    <x v="79"/>
    <b v="1"/>
    <s v="passion_fruit"/>
    <s v="passion_fruit"/>
    <m/>
    <x v="1"/>
    <x v="4"/>
    <x v="0"/>
  </r>
  <r>
    <n v="679"/>
    <x v="1"/>
    <x v="670"/>
    <x v="13"/>
    <n v="37"/>
    <x v="0"/>
    <x v="2"/>
    <s v="Wed"/>
    <s v="Wed"/>
    <m/>
    <m/>
    <m/>
    <m/>
    <b v="1"/>
    <s v="LesMiles"/>
    <s v="LesMiles"/>
    <m/>
    <m/>
    <d v="1899-12-30T09:10:00"/>
    <d v="1899-12-30T10:30:00"/>
    <x v="137"/>
    <b v="1"/>
    <s v="orange, black_currant"/>
    <s v="orange"/>
    <s v="black_currant"/>
    <x v="0"/>
    <x v="0"/>
    <x v="1"/>
  </r>
  <r>
    <n v="680"/>
    <x v="1"/>
    <x v="671"/>
    <x v="38"/>
    <n v="25"/>
    <x v="1"/>
    <x v="1"/>
    <s v="Thu, Tue, Wed"/>
    <s v="Thu"/>
    <s v="Tue"/>
    <s v="Wed"/>
    <m/>
    <m/>
    <b v="1"/>
    <s v="Pilates, HIT, LesMiles"/>
    <s v="Pilates"/>
    <s v="HIT"/>
    <s v="LesMiles"/>
    <d v="1899-12-30T16:33:00"/>
    <d v="1899-12-30T18:16:00"/>
    <x v="60"/>
    <b v="0"/>
    <s v=""/>
    <m/>
    <m/>
    <x v="1"/>
    <x v="3"/>
    <x v="1"/>
  </r>
  <r>
    <n v="681"/>
    <x v="0"/>
    <x v="672"/>
    <x v="13"/>
    <n v="37"/>
    <x v="0"/>
    <x v="2"/>
    <s v="Sat"/>
    <s v="Sat"/>
    <m/>
    <m/>
    <m/>
    <m/>
    <b v="0"/>
    <s v=""/>
    <m/>
    <m/>
    <m/>
    <d v="1899-12-30T09:11:00"/>
    <d v="1899-12-30T11:33:00"/>
    <x v="36"/>
    <b v="1"/>
    <s v="black_currant"/>
    <s v="black_currant"/>
    <m/>
    <x v="1"/>
    <x v="2"/>
    <x v="1"/>
  </r>
  <r>
    <n v="682"/>
    <x v="1"/>
    <x v="673"/>
    <x v="11"/>
    <n v="34"/>
    <x v="0"/>
    <x v="1"/>
    <s v="Fri, Sun, Tue"/>
    <s v="Fri"/>
    <s v="Sun"/>
    <s v="Tue"/>
    <m/>
    <m/>
    <b v="0"/>
    <s v=""/>
    <m/>
    <m/>
    <m/>
    <d v="1899-12-30T10:54:00"/>
    <d v="1899-12-30T12:49:00"/>
    <x v="103"/>
    <b v="1"/>
    <s v="passion_fruit"/>
    <s v="passion_fruit"/>
    <m/>
    <x v="1"/>
    <x v="4"/>
    <x v="0"/>
  </r>
  <r>
    <n v="683"/>
    <x v="1"/>
    <x v="674"/>
    <x v="36"/>
    <n v="49"/>
    <x v="1"/>
    <x v="2"/>
    <s v="Tue"/>
    <s v="Tue"/>
    <m/>
    <m/>
    <m/>
    <m/>
    <b v="1"/>
    <s v="HIT, Running, Kickboxen"/>
    <s v="HIT"/>
    <s v="Running"/>
    <s v="Kickboxen"/>
    <d v="1899-12-30T20:23:00"/>
    <d v="1899-12-30T21:08:00"/>
    <x v="139"/>
    <b v="1"/>
    <s v="orange"/>
    <s v="orange"/>
    <m/>
    <x v="0"/>
    <x v="0"/>
    <x v="0"/>
  </r>
  <r>
    <n v="684"/>
    <x v="0"/>
    <x v="675"/>
    <x v="23"/>
    <n v="18"/>
    <x v="1"/>
    <x v="2"/>
    <s v="Wed"/>
    <s v="Wed"/>
    <m/>
    <m/>
    <m/>
    <m/>
    <b v="1"/>
    <s v="Kickboxen"/>
    <s v="Kickboxen"/>
    <m/>
    <m/>
    <d v="1899-12-30T17:51:00"/>
    <d v="1899-12-30T20:09:00"/>
    <x v="102"/>
    <b v="1"/>
    <s v="coconut_pineapple, berry_boost"/>
    <s v="coconut_pineapple"/>
    <s v="berry_boost"/>
    <x v="0"/>
    <x v="0"/>
    <x v="0"/>
  </r>
  <r>
    <n v="685"/>
    <x v="1"/>
    <x v="676"/>
    <x v="4"/>
    <n v="43"/>
    <x v="1"/>
    <x v="3"/>
    <s v="Tue, Wed"/>
    <s v="Tue"/>
    <s v="Wed"/>
    <m/>
    <m/>
    <m/>
    <b v="0"/>
    <s v=""/>
    <m/>
    <m/>
    <m/>
    <d v="1899-12-30T18:35:00"/>
    <d v="1899-12-30T21:16:00"/>
    <x v="15"/>
    <b v="0"/>
    <s v=""/>
    <m/>
    <m/>
    <x v="1"/>
    <x v="1"/>
    <x v="0"/>
  </r>
  <r>
    <n v="686"/>
    <x v="0"/>
    <x v="677"/>
    <x v="6"/>
    <n v="30"/>
    <x v="0"/>
    <x v="1"/>
    <s v="Sat, Thu, Wed"/>
    <s v="Sat"/>
    <s v="Thu"/>
    <s v="Wed"/>
    <m/>
    <m/>
    <b v="0"/>
    <s v=""/>
    <m/>
    <m/>
    <m/>
    <d v="1899-12-30T10:16:00"/>
    <d v="1899-12-30T11:47:00"/>
    <x v="26"/>
    <b v="1"/>
    <s v="orange"/>
    <s v="orange"/>
    <m/>
    <x v="0"/>
    <x v="0"/>
    <x v="0"/>
  </r>
  <r>
    <n v="687"/>
    <x v="1"/>
    <x v="599"/>
    <x v="25"/>
    <n v="29"/>
    <x v="1"/>
    <x v="1"/>
    <s v="Mon, Sat, Sun"/>
    <s v="Mon"/>
    <s v="Sat"/>
    <s v="Sun"/>
    <m/>
    <m/>
    <b v="1"/>
    <s v="Kickboxen, Running, LesMiles"/>
    <s v="Kickboxen"/>
    <s v="Running"/>
    <s v="LesMiles"/>
    <d v="1899-12-30T09:13:00"/>
    <d v="1899-12-30T11:27:00"/>
    <x v="145"/>
    <b v="0"/>
    <s v=""/>
    <m/>
    <m/>
    <x v="0"/>
    <x v="0"/>
    <x v="0"/>
  </r>
  <r>
    <n v="688"/>
    <x v="1"/>
    <x v="678"/>
    <x v="14"/>
    <n v="13"/>
    <x v="0"/>
    <x v="1"/>
    <s v="Mon, Thu, Tue"/>
    <s v="Mon"/>
    <s v="Thu"/>
    <s v="Tue"/>
    <m/>
    <m/>
    <b v="0"/>
    <s v=""/>
    <m/>
    <m/>
    <m/>
    <d v="1899-12-30T20:25:00"/>
    <d v="1899-12-30T22:44:00"/>
    <x v="136"/>
    <b v="0"/>
    <s v=""/>
    <m/>
    <m/>
    <x v="1"/>
    <x v="1"/>
    <x v="1"/>
  </r>
  <r>
    <n v="689"/>
    <x v="0"/>
    <x v="679"/>
    <x v="14"/>
    <n v="13"/>
    <x v="1"/>
    <x v="4"/>
    <s v="Fri, Sun, Thu, Tue, Wed"/>
    <s v="Fri"/>
    <s v="Sun"/>
    <s v="Thu"/>
    <s v="Tue"/>
    <s v="Wed"/>
    <b v="0"/>
    <s v=""/>
    <m/>
    <m/>
    <m/>
    <d v="1899-12-30T09:47:00"/>
    <d v="1899-12-30T12:16:00"/>
    <x v="18"/>
    <b v="0"/>
    <s v=""/>
    <m/>
    <m/>
    <x v="1"/>
    <x v="3"/>
    <x v="1"/>
  </r>
  <r>
    <n v="690"/>
    <x v="1"/>
    <x v="680"/>
    <x v="28"/>
    <n v="45"/>
    <x v="0"/>
    <x v="1"/>
    <s v="Mon, Sat, Tue"/>
    <s v="Mon"/>
    <s v="Sat"/>
    <s v="Tue"/>
    <m/>
    <m/>
    <b v="0"/>
    <s v=""/>
    <m/>
    <m/>
    <m/>
    <d v="1899-12-30T13:10:00"/>
    <d v="1899-12-30T15:15:00"/>
    <x v="62"/>
    <b v="1"/>
    <s v="passion_fruit"/>
    <s v="passion_fruit"/>
    <m/>
    <x v="0"/>
    <x v="0"/>
    <x v="0"/>
  </r>
  <r>
    <n v="691"/>
    <x v="1"/>
    <x v="681"/>
    <x v="26"/>
    <n v="28"/>
    <x v="0"/>
    <x v="1"/>
    <s v="Sun, Thu, Tue"/>
    <s v="Sun"/>
    <s v="Thu"/>
    <s v="Tue"/>
    <m/>
    <m/>
    <b v="0"/>
    <s v=""/>
    <m/>
    <m/>
    <m/>
    <d v="1899-12-30T10:17:00"/>
    <d v="1899-12-30T11:47:00"/>
    <x v="140"/>
    <b v="0"/>
    <s v=""/>
    <m/>
    <m/>
    <x v="1"/>
    <x v="4"/>
    <x v="1"/>
  </r>
  <r>
    <n v="692"/>
    <x v="0"/>
    <x v="682"/>
    <x v="24"/>
    <n v="16"/>
    <x v="0"/>
    <x v="0"/>
    <s v="Mon, Sun, Thu, Tue"/>
    <s v="Mon"/>
    <s v="Sun"/>
    <s v="Thu"/>
    <s v="Tue"/>
    <m/>
    <b v="1"/>
    <s v="BodyPump"/>
    <s v="BodyPump"/>
    <m/>
    <m/>
    <d v="1899-12-30T16:21:00"/>
    <d v="1899-12-30T17:38:00"/>
    <x v="71"/>
    <b v="0"/>
    <s v=""/>
    <m/>
    <m/>
    <x v="1"/>
    <x v="4"/>
    <x v="1"/>
  </r>
  <r>
    <n v="693"/>
    <x v="0"/>
    <x v="683"/>
    <x v="12"/>
    <n v="36"/>
    <x v="1"/>
    <x v="0"/>
    <s v="Sat, Thu, Tue, Wed"/>
    <s v="Sat"/>
    <s v="Thu"/>
    <s v="Tue"/>
    <s v="Wed"/>
    <m/>
    <b v="0"/>
    <s v=""/>
    <m/>
    <m/>
    <m/>
    <d v="1899-12-30T17:34:00"/>
    <d v="1899-12-30T18:06:00"/>
    <x v="105"/>
    <b v="1"/>
    <s v="passion_fruit, coconut_pineapple"/>
    <s v="passion_fruit"/>
    <s v="coconut_pineapple"/>
    <x v="1"/>
    <x v="3"/>
    <x v="1"/>
  </r>
  <r>
    <n v="694"/>
    <x v="0"/>
    <x v="684"/>
    <x v="18"/>
    <n v="19"/>
    <x v="1"/>
    <x v="3"/>
    <s v="Thu, Tue"/>
    <s v="Thu"/>
    <s v="Tue"/>
    <m/>
    <m/>
    <m/>
    <b v="0"/>
    <s v=""/>
    <m/>
    <m/>
    <m/>
    <d v="1899-12-30T16:40:00"/>
    <d v="1899-12-30T17:37:00"/>
    <x v="50"/>
    <b v="0"/>
    <s v=""/>
    <m/>
    <m/>
    <x v="1"/>
    <x v="2"/>
    <x v="0"/>
  </r>
  <r>
    <n v="695"/>
    <x v="0"/>
    <x v="685"/>
    <x v="0"/>
    <n v="27"/>
    <x v="1"/>
    <x v="2"/>
    <s v="Mon"/>
    <s v="Mon"/>
    <m/>
    <m/>
    <m/>
    <m/>
    <b v="0"/>
    <s v=""/>
    <m/>
    <m/>
    <m/>
    <d v="1899-12-30T12:30:00"/>
    <d v="1899-12-30T13:08:00"/>
    <x v="114"/>
    <b v="1"/>
    <s v="black_currant, lemon"/>
    <s v="black_currant"/>
    <s v="lemon"/>
    <x v="0"/>
    <x v="0"/>
    <x v="1"/>
  </r>
  <r>
    <n v="696"/>
    <x v="0"/>
    <x v="686"/>
    <x v="8"/>
    <n v="24"/>
    <x v="1"/>
    <x v="0"/>
    <s v="Mon, Sat, Sun, Thu"/>
    <s v="Mon"/>
    <s v="Sat"/>
    <s v="Sun"/>
    <s v="Thu"/>
    <m/>
    <b v="1"/>
    <s v="BodyPump, LesMiles, HIT"/>
    <s v="BodyPump"/>
    <s v="LesMiles"/>
    <s v="HIT"/>
    <d v="1899-12-30T11:43:00"/>
    <d v="1899-12-30T12:27:00"/>
    <x v="122"/>
    <b v="1"/>
    <s v="black_currant"/>
    <s v="black_currant"/>
    <m/>
    <x v="0"/>
    <x v="0"/>
    <x v="1"/>
  </r>
  <r>
    <n v="697"/>
    <x v="1"/>
    <x v="687"/>
    <x v="29"/>
    <n v="22"/>
    <x v="1"/>
    <x v="4"/>
    <s v="Fri, Sat, Sun, Tue, Wed"/>
    <s v="Fri"/>
    <s v="Sat"/>
    <s v="Sun"/>
    <s v="Tue"/>
    <s v="Wed"/>
    <b v="1"/>
    <s v="BodyBalance"/>
    <s v="BodyBalance"/>
    <m/>
    <m/>
    <d v="1899-12-30T10:31:00"/>
    <d v="1899-12-30T11:48:00"/>
    <x v="71"/>
    <b v="1"/>
    <s v="black_currant"/>
    <s v="black_currant"/>
    <m/>
    <x v="1"/>
    <x v="2"/>
    <x v="1"/>
  </r>
  <r>
    <n v="698"/>
    <x v="1"/>
    <x v="688"/>
    <x v="36"/>
    <n v="49"/>
    <x v="1"/>
    <x v="1"/>
    <s v="Fri, Mon, Tue"/>
    <s v="Fri"/>
    <s v="Mon"/>
    <s v="Tue"/>
    <m/>
    <m/>
    <b v="0"/>
    <s v=""/>
    <m/>
    <m/>
    <m/>
    <d v="1899-12-30T14:52:00"/>
    <d v="1899-12-30T15:25:00"/>
    <x v="11"/>
    <b v="1"/>
    <s v="passion_fruit, black_currant"/>
    <s v="passion_fruit"/>
    <s v="black_currant"/>
    <x v="1"/>
    <x v="1"/>
    <x v="1"/>
  </r>
  <r>
    <n v="699"/>
    <x v="1"/>
    <x v="689"/>
    <x v="5"/>
    <n v="15"/>
    <x v="0"/>
    <x v="1"/>
    <s v="Fri, Sat, Sun"/>
    <s v="Fri"/>
    <s v="Sat"/>
    <s v="Sun"/>
    <m/>
    <m/>
    <b v="1"/>
    <s v="Yoga, Pilates, HIT"/>
    <s v="Yoga"/>
    <s v="Pilates"/>
    <s v="HIT"/>
    <d v="1899-12-30T18:06:00"/>
    <d v="1899-12-30T20:42:00"/>
    <x v="78"/>
    <b v="0"/>
    <s v=""/>
    <m/>
    <m/>
    <x v="1"/>
    <x v="3"/>
    <x v="0"/>
  </r>
  <r>
    <n v="700"/>
    <x v="0"/>
    <x v="690"/>
    <x v="10"/>
    <n v="35"/>
    <x v="0"/>
    <x v="1"/>
    <s v="Sat, Tue, Wed"/>
    <s v="Sat"/>
    <s v="Tue"/>
    <s v="Wed"/>
    <m/>
    <m/>
    <b v="0"/>
    <s v=""/>
    <m/>
    <m/>
    <m/>
    <d v="1899-12-30T16:35:00"/>
    <d v="1899-12-30T17:35:00"/>
    <x v="127"/>
    <b v="1"/>
    <s v="berry_boost"/>
    <s v="berry_boost"/>
    <m/>
    <x v="0"/>
    <x v="0"/>
    <x v="1"/>
  </r>
  <r>
    <n v="701"/>
    <x v="0"/>
    <x v="691"/>
    <x v="30"/>
    <n v="24"/>
    <x v="1"/>
    <x v="4"/>
    <s v="Mon, Sat, Sun, Thu, Tue"/>
    <s v="Mon"/>
    <s v="Sat"/>
    <s v="Sun"/>
    <s v="Thu"/>
    <s v="Tue"/>
    <b v="1"/>
    <s v="Yoga, BodyBalance, Running"/>
    <s v="Yoga"/>
    <s v="BodyBalance"/>
    <s v="Running"/>
    <d v="1899-12-30T11:19:00"/>
    <d v="1899-12-30T12:28:00"/>
    <x v="43"/>
    <b v="0"/>
    <s v=""/>
    <m/>
    <m/>
    <x v="0"/>
    <x v="0"/>
    <x v="0"/>
  </r>
  <r>
    <n v="702"/>
    <x v="1"/>
    <x v="692"/>
    <x v="22"/>
    <n v="41"/>
    <x v="1"/>
    <x v="4"/>
    <s v="Fri, Sat, Sun, Tue, Wed"/>
    <s v="Fri"/>
    <s v="Sat"/>
    <s v="Sun"/>
    <s v="Tue"/>
    <s v="Wed"/>
    <b v="0"/>
    <s v=""/>
    <m/>
    <m/>
    <m/>
    <d v="1899-12-30T10:22:00"/>
    <d v="1899-12-30T11:55:00"/>
    <x v="41"/>
    <b v="1"/>
    <s v="coconut_pineapple, orange"/>
    <s v="coconut_pineapple"/>
    <s v="orange"/>
    <x v="0"/>
    <x v="0"/>
    <x v="0"/>
  </r>
  <r>
    <n v="703"/>
    <x v="1"/>
    <x v="693"/>
    <x v="12"/>
    <n v="36"/>
    <x v="0"/>
    <x v="1"/>
    <s v="Sat, Sun, Tue"/>
    <s v="Sat"/>
    <s v="Sun"/>
    <s v="Tue"/>
    <m/>
    <m/>
    <b v="1"/>
    <s v="Pilates, BodyPump, Yoga"/>
    <s v="Pilates"/>
    <s v="BodyPump"/>
    <s v="Yoga"/>
    <d v="1899-12-30T16:01:00"/>
    <d v="1899-12-30T17:40:00"/>
    <x v="3"/>
    <b v="1"/>
    <s v="black_currant"/>
    <s v="black_currant"/>
    <m/>
    <x v="1"/>
    <x v="2"/>
    <x v="0"/>
  </r>
  <r>
    <n v="704"/>
    <x v="1"/>
    <x v="694"/>
    <x v="10"/>
    <n v="35"/>
    <x v="0"/>
    <x v="3"/>
    <s v="Sat, Wed"/>
    <s v="Sat"/>
    <s v="Wed"/>
    <m/>
    <m/>
    <m/>
    <b v="1"/>
    <s v="XCore, Yoga, Pilates"/>
    <s v="XCore"/>
    <s v="Yoga"/>
    <s v="Pilates"/>
    <d v="1899-12-30T20:14:00"/>
    <d v="1899-12-30T22:30:00"/>
    <x v="39"/>
    <b v="1"/>
    <s v="passion_fruit"/>
    <s v="passion_fruit"/>
    <m/>
    <x v="1"/>
    <x v="3"/>
    <x v="0"/>
  </r>
  <r>
    <n v="705"/>
    <x v="1"/>
    <x v="695"/>
    <x v="16"/>
    <n v="32"/>
    <x v="1"/>
    <x v="1"/>
    <s v="Mon, Sat, Wed"/>
    <s v="Mon"/>
    <s v="Sat"/>
    <s v="Wed"/>
    <m/>
    <m/>
    <b v="1"/>
    <s v="HIT, Yoga, Kickboxen"/>
    <s v="HIT"/>
    <s v="Yoga"/>
    <s v="Kickboxen"/>
    <d v="1899-12-30T17:29:00"/>
    <d v="1899-12-30T18:47:00"/>
    <x v="106"/>
    <b v="1"/>
    <s v="passion_fruit, coconut_pineapple"/>
    <s v="passion_fruit"/>
    <s v="coconut_pineapple"/>
    <x v="0"/>
    <x v="0"/>
    <x v="0"/>
  </r>
  <r>
    <n v="706"/>
    <x v="0"/>
    <x v="696"/>
    <x v="33"/>
    <n v="39"/>
    <x v="1"/>
    <x v="1"/>
    <s v="Fri, Sun, Thu"/>
    <s v="Fri"/>
    <s v="Sun"/>
    <s v="Thu"/>
    <m/>
    <m/>
    <b v="0"/>
    <s v=""/>
    <m/>
    <m/>
    <m/>
    <d v="1899-12-30T11:05:00"/>
    <d v="1899-12-30T11:42:00"/>
    <x v="91"/>
    <b v="1"/>
    <s v="orange"/>
    <s v="orange"/>
    <m/>
    <x v="1"/>
    <x v="4"/>
    <x v="1"/>
  </r>
  <r>
    <n v="707"/>
    <x v="1"/>
    <x v="697"/>
    <x v="26"/>
    <n v="28"/>
    <x v="0"/>
    <x v="4"/>
    <s v="Mon, Sat, Sun, Thu, Wed"/>
    <s v="Mon"/>
    <s v="Sat"/>
    <s v="Sun"/>
    <s v="Thu"/>
    <s v="Wed"/>
    <b v="1"/>
    <s v="XCore, Running"/>
    <s v="XCore"/>
    <s v="Running"/>
    <m/>
    <d v="1899-12-30T13:31:00"/>
    <d v="1899-12-30T15:39:00"/>
    <x v="119"/>
    <b v="0"/>
    <s v=""/>
    <m/>
    <m/>
    <x v="1"/>
    <x v="1"/>
    <x v="0"/>
  </r>
  <r>
    <n v="708"/>
    <x v="1"/>
    <x v="56"/>
    <x v="30"/>
    <n v="23"/>
    <x v="0"/>
    <x v="3"/>
    <s v="Mon, Wed"/>
    <s v="Mon"/>
    <s v="Wed"/>
    <m/>
    <m/>
    <m/>
    <b v="1"/>
    <s v="Pilates, Spinning, Running"/>
    <s v="Pilates"/>
    <s v="Spinning"/>
    <s v="Running"/>
    <d v="1899-12-30T18:01:00"/>
    <d v="1899-12-30T19:30:00"/>
    <x v="118"/>
    <b v="0"/>
    <s v=""/>
    <m/>
    <m/>
    <x v="1"/>
    <x v="4"/>
    <x v="0"/>
  </r>
  <r>
    <n v="709"/>
    <x v="1"/>
    <x v="698"/>
    <x v="22"/>
    <n v="40"/>
    <x v="1"/>
    <x v="1"/>
    <s v="Fri, Sun, Wed"/>
    <s v="Fri"/>
    <s v="Sun"/>
    <s v="Wed"/>
    <m/>
    <m/>
    <b v="1"/>
    <s v="HIT, Spinning, XCore"/>
    <s v="HIT"/>
    <s v="Spinning"/>
    <s v="XCore"/>
    <d v="1899-12-30T17:58:00"/>
    <d v="1899-12-30T20:33:00"/>
    <x v="142"/>
    <b v="1"/>
    <s v="coconut_pineapple, orange"/>
    <s v="coconut_pineapple"/>
    <s v="orange"/>
    <x v="0"/>
    <x v="0"/>
    <x v="0"/>
  </r>
  <r>
    <n v="710"/>
    <x v="0"/>
    <x v="699"/>
    <x v="18"/>
    <n v="19"/>
    <x v="0"/>
    <x v="4"/>
    <s v="Fri, Mon, Sat, Thu, Wed"/>
    <s v="Fri"/>
    <s v="Mon"/>
    <s v="Sat"/>
    <s v="Thu"/>
    <s v="Wed"/>
    <b v="1"/>
    <s v="BodyBalance, XCore"/>
    <s v="BodyBalance"/>
    <s v="XCore"/>
    <m/>
    <d v="1899-12-30T10:54:00"/>
    <d v="1899-12-30T13:17:00"/>
    <x v="83"/>
    <b v="1"/>
    <s v="orange, berry_boost"/>
    <s v="orange"/>
    <s v="berry_boost"/>
    <x v="1"/>
    <x v="2"/>
    <x v="1"/>
  </r>
  <r>
    <n v="711"/>
    <x v="0"/>
    <x v="700"/>
    <x v="2"/>
    <n v="41"/>
    <x v="1"/>
    <x v="3"/>
    <s v="Sat, Sun"/>
    <s v="Sat"/>
    <s v="Sun"/>
    <m/>
    <m/>
    <m/>
    <b v="1"/>
    <s v="Zumba, XCore"/>
    <s v="Zumba"/>
    <s v="XCore"/>
    <m/>
    <d v="1899-12-30T09:57:00"/>
    <d v="1899-12-30T11:42:00"/>
    <x v="94"/>
    <b v="1"/>
    <s v="coconut_pineapple, lemon"/>
    <s v="coconut_pineapple"/>
    <s v="lemon"/>
    <x v="0"/>
    <x v="0"/>
    <x v="1"/>
  </r>
  <r>
    <n v="712"/>
    <x v="1"/>
    <x v="701"/>
    <x v="8"/>
    <n v="24"/>
    <x v="1"/>
    <x v="0"/>
    <s v="Fri, Sat, Sun, Wed"/>
    <s v="Fri"/>
    <s v="Sat"/>
    <s v="Sun"/>
    <s v="Wed"/>
    <m/>
    <b v="1"/>
    <s v="XCore, HIT"/>
    <s v="XCore"/>
    <s v="HIT"/>
    <m/>
    <d v="1899-12-30T13:12:00"/>
    <d v="1899-12-30T14:49:00"/>
    <x v="124"/>
    <b v="0"/>
    <s v=""/>
    <m/>
    <m/>
    <x v="1"/>
    <x v="4"/>
    <x v="1"/>
  </r>
  <r>
    <n v="713"/>
    <x v="1"/>
    <x v="702"/>
    <x v="13"/>
    <n v="37"/>
    <x v="1"/>
    <x v="1"/>
    <s v="Sun, Thu, Wed"/>
    <s v="Sun"/>
    <s v="Thu"/>
    <s v="Wed"/>
    <m/>
    <m/>
    <b v="1"/>
    <s v="BodyPump, HIT"/>
    <s v="BodyPump"/>
    <s v="HIT"/>
    <m/>
    <d v="1899-12-30T10:37:00"/>
    <d v="1899-12-30T12:40:00"/>
    <x v="2"/>
    <b v="0"/>
    <s v=""/>
    <m/>
    <m/>
    <x v="1"/>
    <x v="1"/>
    <x v="1"/>
  </r>
  <r>
    <n v="714"/>
    <x v="0"/>
    <x v="703"/>
    <x v="4"/>
    <n v="43"/>
    <x v="1"/>
    <x v="2"/>
    <s v="Wed"/>
    <s v="Wed"/>
    <m/>
    <m/>
    <m/>
    <m/>
    <b v="1"/>
    <s v="Kickboxen, LesMiles, Running"/>
    <s v="Kickboxen"/>
    <s v="LesMiles"/>
    <s v="Running"/>
    <d v="1899-12-30T10:50:00"/>
    <d v="1899-12-30T13:11:00"/>
    <x v="113"/>
    <b v="0"/>
    <s v=""/>
    <m/>
    <m/>
    <x v="0"/>
    <x v="0"/>
    <x v="0"/>
  </r>
  <r>
    <n v="715"/>
    <x v="1"/>
    <x v="704"/>
    <x v="4"/>
    <n v="43"/>
    <x v="0"/>
    <x v="1"/>
    <s v="Fri, Sun, Tue"/>
    <s v="Fri"/>
    <s v="Sun"/>
    <s v="Tue"/>
    <m/>
    <m/>
    <b v="0"/>
    <s v=""/>
    <m/>
    <m/>
    <m/>
    <d v="1899-12-30T12:02:00"/>
    <d v="1899-12-30T14:07:00"/>
    <x v="62"/>
    <b v="1"/>
    <s v="black_currant"/>
    <s v="black_currant"/>
    <m/>
    <x v="1"/>
    <x v="2"/>
    <x v="0"/>
  </r>
  <r>
    <n v="716"/>
    <x v="0"/>
    <x v="705"/>
    <x v="25"/>
    <n v="29"/>
    <x v="1"/>
    <x v="0"/>
    <s v="Fri, Mon, Sun, Thu"/>
    <s v="Fri"/>
    <s v="Mon"/>
    <s v="Sun"/>
    <s v="Thu"/>
    <m/>
    <b v="1"/>
    <s v="Spinning, Pilates, BodyPump"/>
    <s v="Spinning"/>
    <s v="Pilates"/>
    <s v="BodyPump"/>
    <d v="1899-12-30T18:15:00"/>
    <d v="1899-12-30T18:54:00"/>
    <x v="115"/>
    <b v="0"/>
    <s v=""/>
    <m/>
    <m/>
    <x v="1"/>
    <x v="2"/>
    <x v="0"/>
  </r>
  <r>
    <n v="717"/>
    <x v="1"/>
    <x v="706"/>
    <x v="3"/>
    <n v="44"/>
    <x v="0"/>
    <x v="0"/>
    <s v="Sat, Thu, Tue, Wed"/>
    <s v="Sat"/>
    <s v="Thu"/>
    <s v="Tue"/>
    <s v="Wed"/>
    <m/>
    <b v="0"/>
    <s v=""/>
    <m/>
    <m/>
    <m/>
    <d v="1899-12-30T11:10:00"/>
    <d v="1899-12-30T11:44:00"/>
    <x v="107"/>
    <b v="0"/>
    <s v=""/>
    <m/>
    <m/>
    <x v="0"/>
    <x v="0"/>
    <x v="0"/>
  </r>
  <r>
    <n v="718"/>
    <x v="1"/>
    <x v="707"/>
    <x v="0"/>
    <n v="27"/>
    <x v="1"/>
    <x v="3"/>
    <s v="Mon, Thu"/>
    <s v="Mon"/>
    <s v="Thu"/>
    <m/>
    <m/>
    <m/>
    <b v="1"/>
    <s v="XCore"/>
    <s v="XCore"/>
    <m/>
    <m/>
    <d v="1899-12-30T20:32:00"/>
    <d v="1899-12-30T22:20:00"/>
    <x v="84"/>
    <b v="1"/>
    <s v="passion_fruit, orange"/>
    <s v="passion_fruit"/>
    <s v="orange"/>
    <x v="0"/>
    <x v="0"/>
    <x v="1"/>
  </r>
  <r>
    <n v="719"/>
    <x v="1"/>
    <x v="708"/>
    <x v="11"/>
    <n v="34"/>
    <x v="1"/>
    <x v="4"/>
    <s v="Fri, Mon, Sun, Thu, Tue"/>
    <s v="Fri"/>
    <s v="Mon"/>
    <s v="Sun"/>
    <s v="Thu"/>
    <s v="Tue"/>
    <b v="0"/>
    <s v=""/>
    <m/>
    <m/>
    <m/>
    <d v="1899-12-30T08:33:00"/>
    <d v="1899-12-30T10:29:00"/>
    <x v="0"/>
    <b v="0"/>
    <s v=""/>
    <m/>
    <m/>
    <x v="0"/>
    <x v="0"/>
    <x v="1"/>
  </r>
  <r>
    <n v="720"/>
    <x v="1"/>
    <x v="709"/>
    <x v="23"/>
    <n v="18"/>
    <x v="1"/>
    <x v="0"/>
    <s v="Mon, Sun, Thu, Tue"/>
    <s v="Mon"/>
    <s v="Sun"/>
    <s v="Thu"/>
    <s v="Tue"/>
    <m/>
    <b v="1"/>
    <s v="Yoga, Zumba, Pilates"/>
    <s v="Yoga"/>
    <s v="Zumba"/>
    <s v="Pilates"/>
    <d v="1899-12-30T19:42:00"/>
    <d v="1899-12-30T20:57:00"/>
    <x v="125"/>
    <b v="0"/>
    <s v=""/>
    <m/>
    <m/>
    <x v="0"/>
    <x v="0"/>
    <x v="1"/>
  </r>
  <r>
    <n v="721"/>
    <x v="1"/>
    <x v="710"/>
    <x v="6"/>
    <n v="30"/>
    <x v="0"/>
    <x v="3"/>
    <s v="Sat, Wed"/>
    <s v="Sat"/>
    <s v="Wed"/>
    <m/>
    <m/>
    <m/>
    <b v="0"/>
    <s v=""/>
    <m/>
    <m/>
    <m/>
    <d v="1899-12-30T08:38:00"/>
    <d v="1899-12-30T10:58:00"/>
    <x v="74"/>
    <b v="1"/>
    <s v="coconut_pineapple"/>
    <s v="coconut_pineapple"/>
    <m/>
    <x v="1"/>
    <x v="1"/>
    <x v="1"/>
  </r>
  <r>
    <n v="722"/>
    <x v="1"/>
    <x v="711"/>
    <x v="18"/>
    <n v="19"/>
    <x v="1"/>
    <x v="2"/>
    <s v="Sun"/>
    <s v="Sun"/>
    <m/>
    <m/>
    <m/>
    <m/>
    <b v="0"/>
    <s v=""/>
    <m/>
    <m/>
    <m/>
    <d v="1899-12-30T11:29:00"/>
    <d v="1899-12-30T14:26:00"/>
    <x v="56"/>
    <b v="1"/>
    <s v="orange, coconut_pineapple"/>
    <s v="orange"/>
    <s v="coconut_pineapple"/>
    <x v="1"/>
    <x v="3"/>
    <x v="1"/>
  </r>
  <r>
    <n v="723"/>
    <x v="1"/>
    <x v="712"/>
    <x v="9"/>
    <n v="27"/>
    <x v="0"/>
    <x v="2"/>
    <s v="Mon"/>
    <s v="Mon"/>
    <m/>
    <m/>
    <m/>
    <m/>
    <b v="1"/>
    <s v="BodyPump"/>
    <s v="BodyPump"/>
    <m/>
    <m/>
    <d v="1899-12-30T18:22:00"/>
    <d v="1899-12-30T21:20:00"/>
    <x v="80"/>
    <b v="1"/>
    <s v="berry_boost, lemon"/>
    <s v="berry_boost"/>
    <s v="lemon"/>
    <x v="0"/>
    <x v="0"/>
    <x v="0"/>
  </r>
  <r>
    <n v="724"/>
    <x v="1"/>
    <x v="713"/>
    <x v="21"/>
    <n v="47"/>
    <x v="0"/>
    <x v="3"/>
    <s v="Mon, Tue"/>
    <s v="Mon"/>
    <s v="Tue"/>
    <m/>
    <m/>
    <m/>
    <b v="1"/>
    <s v="HIT, Pilates"/>
    <s v="HIT"/>
    <s v="Pilates"/>
    <m/>
    <d v="1899-12-30T19:06:00"/>
    <d v="1899-12-30T19:43:00"/>
    <x v="91"/>
    <b v="0"/>
    <s v=""/>
    <m/>
    <m/>
    <x v="1"/>
    <x v="1"/>
    <x v="0"/>
  </r>
  <r>
    <n v="725"/>
    <x v="0"/>
    <x v="714"/>
    <x v="2"/>
    <n v="42"/>
    <x v="0"/>
    <x v="3"/>
    <s v="Thu, Tue"/>
    <s v="Thu"/>
    <s v="Tue"/>
    <m/>
    <m/>
    <m/>
    <b v="0"/>
    <s v=""/>
    <m/>
    <m/>
    <m/>
    <d v="1899-12-30T19:18:00"/>
    <d v="1899-12-30T21:39:00"/>
    <x v="113"/>
    <b v="0"/>
    <s v=""/>
    <m/>
    <m/>
    <x v="1"/>
    <x v="4"/>
    <x v="0"/>
  </r>
  <r>
    <n v="726"/>
    <x v="1"/>
    <x v="715"/>
    <x v="11"/>
    <n v="34"/>
    <x v="0"/>
    <x v="1"/>
    <s v="Mon, Sun, Tue"/>
    <s v="Mon"/>
    <s v="Sun"/>
    <s v="Tue"/>
    <m/>
    <m/>
    <b v="0"/>
    <s v=""/>
    <m/>
    <m/>
    <m/>
    <d v="1899-12-30T10:54:00"/>
    <d v="1899-12-30T11:32:00"/>
    <x v="114"/>
    <b v="0"/>
    <s v=""/>
    <m/>
    <m/>
    <x v="0"/>
    <x v="0"/>
    <x v="1"/>
  </r>
  <r>
    <n v="727"/>
    <x v="1"/>
    <x v="716"/>
    <x v="33"/>
    <n v="39"/>
    <x v="0"/>
    <x v="0"/>
    <s v="Fri, Sat, Sun, Wed"/>
    <s v="Fri"/>
    <s v="Sat"/>
    <s v="Sun"/>
    <s v="Wed"/>
    <m/>
    <b v="1"/>
    <s v="Running, Yoga, Zumba"/>
    <s v="Running"/>
    <s v="Yoga"/>
    <s v="Zumba"/>
    <d v="1899-12-30T11:51:00"/>
    <d v="1899-12-30T12:22:00"/>
    <x v="111"/>
    <b v="0"/>
    <s v=""/>
    <m/>
    <m/>
    <x v="0"/>
    <x v="0"/>
    <x v="0"/>
  </r>
  <r>
    <n v="728"/>
    <x v="0"/>
    <x v="717"/>
    <x v="30"/>
    <n v="23"/>
    <x v="0"/>
    <x v="4"/>
    <s v="Mon, Sun, Thu, Tue, Wed"/>
    <s v="Mon"/>
    <s v="Sun"/>
    <s v="Thu"/>
    <s v="Tue"/>
    <s v="Wed"/>
    <b v="1"/>
    <s v="Zumba, BodyPump"/>
    <s v="Zumba"/>
    <s v="BodyPump"/>
    <m/>
    <d v="1899-12-30T20:57:00"/>
    <d v="1899-12-30T23:35:00"/>
    <x v="12"/>
    <b v="0"/>
    <s v=""/>
    <m/>
    <m/>
    <x v="0"/>
    <x v="0"/>
    <x v="0"/>
  </r>
  <r>
    <n v="729"/>
    <x v="1"/>
    <x v="37"/>
    <x v="22"/>
    <n v="40"/>
    <x v="1"/>
    <x v="1"/>
    <s v="Mon, Thu, Tue"/>
    <s v="Mon"/>
    <s v="Thu"/>
    <s v="Tue"/>
    <m/>
    <m/>
    <b v="0"/>
    <s v=""/>
    <m/>
    <m/>
    <m/>
    <d v="1899-12-30T19:38:00"/>
    <d v="1899-12-30T21:10:00"/>
    <x v="8"/>
    <b v="1"/>
    <s v="black_currant"/>
    <s v="black_currant"/>
    <m/>
    <x v="1"/>
    <x v="1"/>
    <x v="0"/>
  </r>
  <r>
    <n v="730"/>
    <x v="1"/>
    <x v="718"/>
    <x v="33"/>
    <n v="39"/>
    <x v="0"/>
    <x v="4"/>
    <s v="Mon, Sun, Thu, Tue, Wed"/>
    <s v="Mon"/>
    <s v="Sun"/>
    <s v="Thu"/>
    <s v="Tue"/>
    <s v="Wed"/>
    <b v="0"/>
    <s v=""/>
    <m/>
    <m/>
    <m/>
    <d v="1899-12-30T15:28:00"/>
    <d v="1899-12-30T16:30:00"/>
    <x v="6"/>
    <b v="0"/>
    <s v=""/>
    <m/>
    <m/>
    <x v="1"/>
    <x v="1"/>
    <x v="0"/>
  </r>
  <r>
    <n v="731"/>
    <x v="0"/>
    <x v="719"/>
    <x v="24"/>
    <n v="16"/>
    <x v="0"/>
    <x v="3"/>
    <s v="Fri, Wed"/>
    <s v="Fri"/>
    <s v="Wed"/>
    <m/>
    <m/>
    <m/>
    <b v="1"/>
    <s v="XCore, LesMiles"/>
    <s v="XCore"/>
    <s v="LesMiles"/>
    <m/>
    <d v="1899-12-30T09:10:00"/>
    <d v="1899-12-30T11:59:00"/>
    <x v="76"/>
    <b v="1"/>
    <s v="passion_fruit"/>
    <s v="passion_fruit"/>
    <m/>
    <x v="1"/>
    <x v="4"/>
    <x v="1"/>
  </r>
  <r>
    <n v="732"/>
    <x v="0"/>
    <x v="720"/>
    <x v="32"/>
    <n v="33"/>
    <x v="0"/>
    <x v="0"/>
    <s v="Fri, Sat, Thu, Wed"/>
    <s v="Fri"/>
    <s v="Sat"/>
    <s v="Thu"/>
    <s v="Wed"/>
    <m/>
    <b v="0"/>
    <s v=""/>
    <m/>
    <m/>
    <m/>
    <d v="1899-12-30T13:30:00"/>
    <d v="1899-12-30T14:17:00"/>
    <x v="99"/>
    <b v="1"/>
    <s v="orange, coconut_pineapple"/>
    <s v="orange"/>
    <s v="coconut_pineapple"/>
    <x v="1"/>
    <x v="4"/>
    <x v="0"/>
  </r>
  <r>
    <n v="733"/>
    <x v="1"/>
    <x v="721"/>
    <x v="21"/>
    <n v="47"/>
    <x v="1"/>
    <x v="2"/>
    <s v="Tue"/>
    <s v="Tue"/>
    <m/>
    <m/>
    <m/>
    <m/>
    <b v="1"/>
    <s v="BodyPump, Running"/>
    <s v="BodyPump"/>
    <s v="Running"/>
    <m/>
    <d v="1899-12-30T18:15:00"/>
    <d v="1899-12-30T19:59:00"/>
    <x v="79"/>
    <b v="1"/>
    <s v="coconut_pineapple"/>
    <s v="coconut_pineapple"/>
    <m/>
    <x v="0"/>
    <x v="0"/>
    <x v="0"/>
  </r>
  <r>
    <n v="734"/>
    <x v="1"/>
    <x v="701"/>
    <x v="8"/>
    <n v="24"/>
    <x v="0"/>
    <x v="1"/>
    <s v="Mon, Thu, Wed"/>
    <s v="Mon"/>
    <s v="Thu"/>
    <s v="Wed"/>
    <m/>
    <m/>
    <b v="0"/>
    <s v=""/>
    <m/>
    <m/>
    <m/>
    <d v="1899-12-30T09:13:00"/>
    <d v="1899-12-30T11:37:00"/>
    <x v="9"/>
    <b v="0"/>
    <s v=""/>
    <m/>
    <m/>
    <x v="0"/>
    <x v="0"/>
    <x v="1"/>
  </r>
  <r>
    <n v="735"/>
    <x v="0"/>
    <x v="722"/>
    <x v="32"/>
    <n v="33"/>
    <x v="1"/>
    <x v="3"/>
    <s v="Fri, Tue"/>
    <s v="Fri"/>
    <s v="Tue"/>
    <m/>
    <m/>
    <m/>
    <b v="1"/>
    <s v="HIT"/>
    <s v="HIT"/>
    <m/>
    <m/>
    <d v="1899-12-30T09:24:00"/>
    <d v="1899-12-30T12:24:00"/>
    <x v="5"/>
    <b v="0"/>
    <s v=""/>
    <m/>
    <m/>
    <x v="1"/>
    <x v="3"/>
    <x v="1"/>
  </r>
  <r>
    <n v="736"/>
    <x v="1"/>
    <x v="723"/>
    <x v="2"/>
    <n v="41"/>
    <x v="0"/>
    <x v="3"/>
    <s v="Mon, Thu"/>
    <s v="Mon"/>
    <s v="Thu"/>
    <m/>
    <m/>
    <m/>
    <b v="1"/>
    <s v="Zumba, BodyPump, HIT"/>
    <s v="Zumba"/>
    <s v="BodyPump"/>
    <s v="HIT"/>
    <d v="1899-12-30T20:54:00"/>
    <d v="1899-12-30T23:49:00"/>
    <x v="37"/>
    <b v="0"/>
    <s v=""/>
    <m/>
    <m/>
    <x v="1"/>
    <x v="1"/>
    <x v="0"/>
  </r>
  <r>
    <n v="737"/>
    <x v="1"/>
    <x v="724"/>
    <x v="12"/>
    <n v="36"/>
    <x v="0"/>
    <x v="2"/>
    <s v="Mon"/>
    <s v="Mon"/>
    <m/>
    <m/>
    <m/>
    <m/>
    <b v="0"/>
    <s v=""/>
    <m/>
    <m/>
    <m/>
    <d v="1899-12-30T08:43:00"/>
    <d v="1899-12-30T10:21:00"/>
    <x v="29"/>
    <b v="1"/>
    <s v="black_currant, berry_boost"/>
    <s v="black_currant"/>
    <s v="berry_boost"/>
    <x v="0"/>
    <x v="0"/>
    <x v="1"/>
  </r>
  <r>
    <n v="738"/>
    <x v="0"/>
    <x v="525"/>
    <x v="21"/>
    <n v="48"/>
    <x v="1"/>
    <x v="4"/>
    <s v="Mon, Sat, Thu, Tue, Wed"/>
    <s v="Mon"/>
    <s v="Sat"/>
    <s v="Thu"/>
    <s v="Tue"/>
    <s v="Wed"/>
    <b v="1"/>
    <s v="Yoga"/>
    <s v="Yoga"/>
    <m/>
    <m/>
    <d v="1899-12-30T11:21:00"/>
    <d v="1899-12-30T13:42:00"/>
    <x v="113"/>
    <b v="1"/>
    <s v="coconut_pineapple"/>
    <s v="coconut_pineapple"/>
    <m/>
    <x v="1"/>
    <x v="3"/>
    <x v="0"/>
  </r>
  <r>
    <n v="739"/>
    <x v="0"/>
    <x v="725"/>
    <x v="7"/>
    <n v="20"/>
    <x v="0"/>
    <x v="1"/>
    <s v="Fri, Thu, Wed"/>
    <s v="Fri"/>
    <s v="Thu"/>
    <s v="Wed"/>
    <m/>
    <m/>
    <b v="0"/>
    <s v=""/>
    <m/>
    <m/>
    <m/>
    <d v="1899-12-30T15:28:00"/>
    <d v="1899-12-30T17:58:00"/>
    <x v="98"/>
    <b v="1"/>
    <s v="orange"/>
    <s v="orange"/>
    <m/>
    <x v="0"/>
    <x v="0"/>
    <x v="0"/>
  </r>
  <r>
    <n v="740"/>
    <x v="0"/>
    <x v="726"/>
    <x v="18"/>
    <n v="19"/>
    <x v="0"/>
    <x v="0"/>
    <s v="Fri, Sat, Sun, Thu"/>
    <s v="Fri"/>
    <s v="Sat"/>
    <s v="Sun"/>
    <s v="Thu"/>
    <m/>
    <b v="0"/>
    <s v=""/>
    <m/>
    <m/>
    <m/>
    <d v="1899-12-30T11:16:00"/>
    <d v="1899-12-30T12:38:00"/>
    <x v="42"/>
    <b v="0"/>
    <s v=""/>
    <m/>
    <m/>
    <x v="0"/>
    <x v="0"/>
    <x v="0"/>
  </r>
  <r>
    <n v="741"/>
    <x v="1"/>
    <x v="727"/>
    <x v="5"/>
    <n v="15"/>
    <x v="1"/>
    <x v="3"/>
    <s v="Mon, Sun"/>
    <s v="Mon"/>
    <s v="Sun"/>
    <m/>
    <m/>
    <m/>
    <b v="1"/>
    <s v="Pilates"/>
    <s v="Pilates"/>
    <m/>
    <m/>
    <d v="1899-12-30T20:07:00"/>
    <d v="1899-12-30T21:39:00"/>
    <x v="8"/>
    <b v="1"/>
    <s v="coconut_pineapple, orange"/>
    <s v="coconut_pineapple"/>
    <s v="orange"/>
    <x v="0"/>
    <x v="0"/>
    <x v="1"/>
  </r>
  <r>
    <n v="742"/>
    <x v="1"/>
    <x v="728"/>
    <x v="0"/>
    <n v="27"/>
    <x v="1"/>
    <x v="2"/>
    <s v="Sun"/>
    <s v="Sun"/>
    <m/>
    <m/>
    <m/>
    <m/>
    <b v="0"/>
    <s v=""/>
    <m/>
    <m/>
    <m/>
    <d v="1899-12-30T18:02:00"/>
    <d v="1899-12-30T19:46:00"/>
    <x v="79"/>
    <b v="1"/>
    <s v="coconut_pineapple, black_currant"/>
    <s v="coconut_pineapple"/>
    <s v="black_currant"/>
    <x v="0"/>
    <x v="0"/>
    <x v="1"/>
  </r>
  <r>
    <n v="743"/>
    <x v="1"/>
    <x v="729"/>
    <x v="34"/>
    <n v="31"/>
    <x v="1"/>
    <x v="3"/>
    <s v="Sun, Thu"/>
    <s v="Sun"/>
    <s v="Thu"/>
    <m/>
    <m/>
    <m/>
    <b v="1"/>
    <s v="LesMiles"/>
    <s v="LesMiles"/>
    <m/>
    <m/>
    <d v="1899-12-30T20:28:00"/>
    <d v="1899-12-30T21:26:00"/>
    <x v="35"/>
    <b v="0"/>
    <s v=""/>
    <m/>
    <m/>
    <x v="1"/>
    <x v="2"/>
    <x v="1"/>
  </r>
  <r>
    <n v="744"/>
    <x v="1"/>
    <x v="730"/>
    <x v="18"/>
    <n v="20"/>
    <x v="0"/>
    <x v="1"/>
    <s v="Mon, Thu, Wed"/>
    <s v="Mon"/>
    <s v="Thu"/>
    <s v="Wed"/>
    <m/>
    <m/>
    <b v="1"/>
    <s v="Yoga, Pilates"/>
    <s v="Yoga"/>
    <s v="Pilates"/>
    <m/>
    <d v="1899-12-30T10:42:00"/>
    <d v="1899-12-30T13:13:00"/>
    <x v="85"/>
    <b v="1"/>
    <s v="orange"/>
    <s v="orange"/>
    <m/>
    <x v="1"/>
    <x v="2"/>
    <x v="1"/>
  </r>
  <r>
    <n v="745"/>
    <x v="0"/>
    <x v="731"/>
    <x v="14"/>
    <n v="13"/>
    <x v="1"/>
    <x v="1"/>
    <s v="Fri, Sat, Wed"/>
    <s v="Fri"/>
    <s v="Sat"/>
    <s v="Wed"/>
    <m/>
    <m/>
    <b v="1"/>
    <s v="BodyBalance, LesMiles, Pilates"/>
    <s v="BodyBalance"/>
    <s v="LesMiles"/>
    <s v="Pilates"/>
    <d v="1899-12-30T13:37:00"/>
    <d v="1899-12-30T14:09:00"/>
    <x v="105"/>
    <b v="1"/>
    <s v="passion_fruit"/>
    <s v="passion_fruit"/>
    <m/>
    <x v="0"/>
    <x v="0"/>
    <x v="1"/>
  </r>
  <r>
    <n v="746"/>
    <x v="1"/>
    <x v="732"/>
    <x v="31"/>
    <n v="17"/>
    <x v="0"/>
    <x v="3"/>
    <s v="Sat, Tue"/>
    <s v="Sat"/>
    <s v="Tue"/>
    <m/>
    <m/>
    <m/>
    <b v="1"/>
    <s v="Pilates, BodyPump"/>
    <s v="Pilates"/>
    <s v="BodyPump"/>
    <m/>
    <d v="1899-12-30T10:09:00"/>
    <d v="1899-12-30T11:05:00"/>
    <x v="81"/>
    <b v="0"/>
    <s v=""/>
    <m/>
    <m/>
    <x v="0"/>
    <x v="0"/>
    <x v="0"/>
  </r>
  <r>
    <n v="747"/>
    <x v="1"/>
    <x v="733"/>
    <x v="4"/>
    <n v="43"/>
    <x v="1"/>
    <x v="3"/>
    <s v="Fri, Wed"/>
    <s v="Fri"/>
    <s v="Wed"/>
    <m/>
    <m/>
    <m/>
    <b v="0"/>
    <s v=""/>
    <m/>
    <m/>
    <m/>
    <d v="1899-12-30T13:10:00"/>
    <d v="1899-12-30T14:25:00"/>
    <x v="125"/>
    <b v="0"/>
    <s v=""/>
    <m/>
    <m/>
    <x v="1"/>
    <x v="2"/>
    <x v="0"/>
  </r>
  <r>
    <n v="748"/>
    <x v="1"/>
    <x v="734"/>
    <x v="20"/>
    <n v="43"/>
    <x v="0"/>
    <x v="2"/>
    <s v="Sat"/>
    <s v="Sat"/>
    <m/>
    <m/>
    <m/>
    <m/>
    <b v="0"/>
    <s v=""/>
    <m/>
    <m/>
    <m/>
    <d v="1899-12-30T19:43:00"/>
    <d v="1899-12-30T20:24:00"/>
    <x v="110"/>
    <b v="0"/>
    <s v=""/>
    <m/>
    <m/>
    <x v="1"/>
    <x v="2"/>
    <x v="0"/>
  </r>
  <r>
    <n v="749"/>
    <x v="0"/>
    <x v="735"/>
    <x v="35"/>
    <n v="12"/>
    <x v="0"/>
    <x v="3"/>
    <s v="Sun, Thu"/>
    <s v="Sun"/>
    <s v="Thu"/>
    <m/>
    <m/>
    <m/>
    <b v="1"/>
    <s v="HIT, Kickboxen, BodyBalance"/>
    <s v="HIT"/>
    <s v="Kickboxen"/>
    <s v="BodyBalance"/>
    <d v="1899-12-30T10:42:00"/>
    <d v="1899-12-30T12:12:00"/>
    <x v="140"/>
    <b v="0"/>
    <s v=""/>
    <m/>
    <m/>
    <x v="0"/>
    <x v="0"/>
    <x v="1"/>
  </r>
  <r>
    <n v="750"/>
    <x v="0"/>
    <x v="736"/>
    <x v="36"/>
    <n v="49"/>
    <x v="1"/>
    <x v="4"/>
    <s v="Fri, Mon, Sun, Tue, Wed"/>
    <s v="Fri"/>
    <s v="Mon"/>
    <s v="Sun"/>
    <s v="Tue"/>
    <s v="Wed"/>
    <b v="1"/>
    <s v="BodyBalance, BodyPump, Running"/>
    <s v="BodyBalance"/>
    <s v="BodyPump"/>
    <s v="Running"/>
    <d v="1899-12-30T10:28:00"/>
    <d v="1899-12-30T11:19:00"/>
    <x v="123"/>
    <b v="0"/>
    <s v=""/>
    <m/>
    <m/>
    <x v="0"/>
    <x v="0"/>
    <x v="1"/>
  </r>
  <r>
    <n v="751"/>
    <x v="0"/>
    <x v="737"/>
    <x v="32"/>
    <n v="33"/>
    <x v="1"/>
    <x v="1"/>
    <s v="Fri, Mon, Wed"/>
    <s v="Fri"/>
    <s v="Mon"/>
    <s v="Wed"/>
    <m/>
    <m/>
    <b v="1"/>
    <s v="Spinning, Kickboxen, Zumba"/>
    <s v="Spinning"/>
    <s v="Kickboxen"/>
    <s v="Zumba"/>
    <d v="1899-12-30T13:11:00"/>
    <d v="1899-12-30T15:56:00"/>
    <x v="54"/>
    <b v="1"/>
    <s v="lemon"/>
    <s v="lemon"/>
    <m/>
    <x v="0"/>
    <x v="0"/>
    <x v="1"/>
  </r>
  <r>
    <n v="752"/>
    <x v="0"/>
    <x v="197"/>
    <x v="6"/>
    <n v="30"/>
    <x v="1"/>
    <x v="1"/>
    <s v="Fri, Thu, Tue"/>
    <s v="Fri"/>
    <s v="Thu"/>
    <s v="Tue"/>
    <m/>
    <m/>
    <b v="0"/>
    <s v=""/>
    <m/>
    <m/>
    <m/>
    <d v="1899-12-30T08:05:00"/>
    <d v="1899-12-30T09:06:00"/>
    <x v="13"/>
    <b v="1"/>
    <s v="coconut_pineapple"/>
    <s v="coconut_pineapple"/>
    <m/>
    <x v="1"/>
    <x v="3"/>
    <x v="1"/>
  </r>
  <r>
    <n v="753"/>
    <x v="0"/>
    <x v="738"/>
    <x v="26"/>
    <n v="28"/>
    <x v="0"/>
    <x v="1"/>
    <s v="Fri, Mon, Thu"/>
    <s v="Fri"/>
    <s v="Mon"/>
    <s v="Thu"/>
    <m/>
    <m/>
    <b v="0"/>
    <s v=""/>
    <m/>
    <m/>
    <m/>
    <d v="1899-12-30T10:11:00"/>
    <d v="1899-12-30T12:26:00"/>
    <x v="33"/>
    <b v="1"/>
    <s v="berry_boost, orange"/>
    <s v="berry_boost"/>
    <s v="orange"/>
    <x v="0"/>
    <x v="0"/>
    <x v="0"/>
  </r>
  <r>
    <n v="754"/>
    <x v="0"/>
    <x v="739"/>
    <x v="32"/>
    <n v="33"/>
    <x v="1"/>
    <x v="1"/>
    <s v="Fri, Sat, Sun"/>
    <s v="Fri"/>
    <s v="Sat"/>
    <s v="Sun"/>
    <m/>
    <m/>
    <b v="0"/>
    <s v=""/>
    <m/>
    <m/>
    <m/>
    <d v="1899-12-30T15:13:00"/>
    <d v="1899-12-30T16:46:00"/>
    <x v="41"/>
    <b v="0"/>
    <s v=""/>
    <m/>
    <m/>
    <x v="1"/>
    <x v="1"/>
    <x v="0"/>
  </r>
  <r>
    <n v="755"/>
    <x v="0"/>
    <x v="740"/>
    <x v="24"/>
    <n v="16"/>
    <x v="1"/>
    <x v="1"/>
    <s v="Sat, Tue, Wed"/>
    <s v="Sat"/>
    <s v="Tue"/>
    <s v="Wed"/>
    <m/>
    <m/>
    <b v="0"/>
    <s v=""/>
    <m/>
    <m/>
    <m/>
    <d v="1899-12-30T18:39:00"/>
    <d v="1899-12-30T20:54:00"/>
    <x v="33"/>
    <b v="0"/>
    <s v=""/>
    <m/>
    <m/>
    <x v="0"/>
    <x v="0"/>
    <x v="1"/>
  </r>
  <r>
    <n v="756"/>
    <x v="1"/>
    <x v="741"/>
    <x v="2"/>
    <n v="41"/>
    <x v="0"/>
    <x v="2"/>
    <s v="Wed"/>
    <s v="Wed"/>
    <m/>
    <m/>
    <m/>
    <m/>
    <b v="1"/>
    <s v="BodyBalance"/>
    <s v="BodyBalance"/>
    <m/>
    <m/>
    <d v="1899-12-30T19:23:00"/>
    <d v="1899-12-30T20:27:00"/>
    <x v="101"/>
    <b v="0"/>
    <s v=""/>
    <m/>
    <m/>
    <x v="0"/>
    <x v="0"/>
    <x v="1"/>
  </r>
  <r>
    <n v="757"/>
    <x v="1"/>
    <x v="742"/>
    <x v="7"/>
    <n v="20"/>
    <x v="0"/>
    <x v="2"/>
    <s v="Sun"/>
    <s v="Sun"/>
    <m/>
    <m/>
    <m/>
    <m/>
    <b v="0"/>
    <s v=""/>
    <m/>
    <m/>
    <m/>
    <d v="1899-12-30T11:23:00"/>
    <d v="1899-12-30T14:01:00"/>
    <x v="12"/>
    <b v="1"/>
    <s v="coconut_pineapple"/>
    <s v="coconut_pineapple"/>
    <m/>
    <x v="0"/>
    <x v="0"/>
    <x v="0"/>
  </r>
  <r>
    <n v="758"/>
    <x v="0"/>
    <x v="743"/>
    <x v="9"/>
    <n v="26"/>
    <x v="1"/>
    <x v="4"/>
    <s v="Sat, Sun, Thu, Tue, Wed"/>
    <s v="Sat"/>
    <s v="Sun"/>
    <s v="Thu"/>
    <s v="Tue"/>
    <s v="Wed"/>
    <b v="0"/>
    <s v=""/>
    <m/>
    <m/>
    <m/>
    <d v="1899-12-30T15:16:00"/>
    <d v="1899-12-30T17:20:00"/>
    <x v="129"/>
    <b v="0"/>
    <s v=""/>
    <m/>
    <m/>
    <x v="1"/>
    <x v="3"/>
    <x v="1"/>
  </r>
  <r>
    <n v="759"/>
    <x v="1"/>
    <x v="744"/>
    <x v="18"/>
    <n v="19"/>
    <x v="1"/>
    <x v="1"/>
    <s v="Sat, Thu, Tue"/>
    <s v="Sat"/>
    <s v="Thu"/>
    <s v="Tue"/>
    <m/>
    <m/>
    <b v="1"/>
    <s v="Kickboxen, Zumba, LesMiles"/>
    <s v="Kickboxen"/>
    <s v="Zumba"/>
    <s v="LesMiles"/>
    <d v="1899-12-30T13:19:00"/>
    <d v="1899-12-30T14:44:00"/>
    <x v="87"/>
    <b v="1"/>
    <s v="lemon"/>
    <s v="lemon"/>
    <m/>
    <x v="0"/>
    <x v="0"/>
    <x v="1"/>
  </r>
  <r>
    <n v="760"/>
    <x v="1"/>
    <x v="745"/>
    <x v="4"/>
    <n v="43"/>
    <x v="0"/>
    <x v="4"/>
    <s v="Fri, Mon, Sat, Thu, Wed"/>
    <s v="Fri"/>
    <s v="Mon"/>
    <s v="Sat"/>
    <s v="Thu"/>
    <s v="Wed"/>
    <b v="1"/>
    <s v="XCore, Spinning, BodyPump"/>
    <s v="XCore"/>
    <s v="Spinning"/>
    <s v="BodyPump"/>
    <d v="1899-12-30T09:29:00"/>
    <d v="1899-12-30T12:05:00"/>
    <x v="78"/>
    <b v="0"/>
    <s v=""/>
    <m/>
    <m/>
    <x v="1"/>
    <x v="1"/>
    <x v="0"/>
  </r>
  <r>
    <n v="761"/>
    <x v="1"/>
    <x v="746"/>
    <x v="2"/>
    <n v="41"/>
    <x v="1"/>
    <x v="2"/>
    <s v="Sun"/>
    <s v="Sun"/>
    <m/>
    <m/>
    <m/>
    <m/>
    <b v="1"/>
    <s v="Yoga"/>
    <s v="Yoga"/>
    <m/>
    <m/>
    <d v="1899-12-30T13:41:00"/>
    <d v="1899-12-30T16:17:00"/>
    <x v="78"/>
    <b v="1"/>
    <s v="passion_fruit"/>
    <s v="passion_fruit"/>
    <m/>
    <x v="1"/>
    <x v="2"/>
    <x v="1"/>
  </r>
  <r>
    <n v="762"/>
    <x v="0"/>
    <x v="403"/>
    <x v="29"/>
    <n v="22"/>
    <x v="1"/>
    <x v="3"/>
    <s v="Mon, Wed"/>
    <s v="Mon"/>
    <s v="Wed"/>
    <m/>
    <m/>
    <m/>
    <b v="1"/>
    <s v="LesMiles"/>
    <s v="LesMiles"/>
    <m/>
    <m/>
    <d v="1899-12-30T12:13:00"/>
    <d v="1899-12-30T14:08:00"/>
    <x v="103"/>
    <b v="1"/>
    <s v="berry_boost"/>
    <s v="berry_boost"/>
    <m/>
    <x v="0"/>
    <x v="0"/>
    <x v="1"/>
  </r>
  <r>
    <n v="763"/>
    <x v="0"/>
    <x v="747"/>
    <x v="28"/>
    <n v="45"/>
    <x v="0"/>
    <x v="1"/>
    <s v="Fri, Mon, Wed"/>
    <s v="Fri"/>
    <s v="Mon"/>
    <s v="Wed"/>
    <m/>
    <m/>
    <b v="1"/>
    <s v="LesMiles, Kickboxen"/>
    <s v="LesMiles"/>
    <s v="Kickboxen"/>
    <m/>
    <d v="1899-12-30T15:39:00"/>
    <d v="1899-12-30T17:34:00"/>
    <x v="103"/>
    <b v="1"/>
    <s v="coconut_pineapple, orange"/>
    <s v="coconut_pineapple"/>
    <s v="orange"/>
    <x v="1"/>
    <x v="2"/>
    <x v="0"/>
  </r>
  <r>
    <n v="764"/>
    <x v="1"/>
    <x v="748"/>
    <x v="17"/>
    <n v="14"/>
    <x v="0"/>
    <x v="4"/>
    <s v="Fri, Mon, Sat, Sun, Tue"/>
    <s v="Fri"/>
    <s v="Mon"/>
    <s v="Sat"/>
    <s v="Sun"/>
    <s v="Tue"/>
    <b v="1"/>
    <s v="XCore, Kickboxen, Yoga"/>
    <s v="XCore"/>
    <s v="Kickboxen"/>
    <s v="Yoga"/>
    <d v="1899-12-30T08:10:00"/>
    <d v="1899-12-30T10:28:00"/>
    <x v="102"/>
    <b v="1"/>
    <s v="berry_boost, coconut_pineapple"/>
    <s v="berry_boost"/>
    <s v="coconut_pineapple"/>
    <x v="0"/>
    <x v="0"/>
    <x v="1"/>
  </r>
  <r>
    <n v="765"/>
    <x v="1"/>
    <x v="578"/>
    <x v="9"/>
    <n v="26"/>
    <x v="1"/>
    <x v="2"/>
    <s v="Thu"/>
    <s v="Thu"/>
    <m/>
    <m/>
    <m/>
    <m/>
    <b v="0"/>
    <s v=""/>
    <m/>
    <m/>
    <m/>
    <d v="1899-12-30T14:21:00"/>
    <d v="1899-12-30T17:17:00"/>
    <x v="100"/>
    <b v="1"/>
    <s v="orange"/>
    <s v="orange"/>
    <m/>
    <x v="0"/>
    <x v="0"/>
    <x v="1"/>
  </r>
  <r>
    <n v="766"/>
    <x v="0"/>
    <x v="749"/>
    <x v="1"/>
    <n v="46"/>
    <x v="0"/>
    <x v="2"/>
    <s v="Thu"/>
    <s v="Thu"/>
    <m/>
    <m/>
    <m/>
    <m/>
    <b v="1"/>
    <s v="Kickboxen, Running"/>
    <s v="Kickboxen"/>
    <s v="Running"/>
    <m/>
    <d v="1899-12-30T14:44:00"/>
    <d v="1899-12-30T16:58:00"/>
    <x v="145"/>
    <b v="0"/>
    <s v=""/>
    <m/>
    <m/>
    <x v="1"/>
    <x v="1"/>
    <x v="1"/>
  </r>
  <r>
    <n v="767"/>
    <x v="1"/>
    <x v="750"/>
    <x v="10"/>
    <n v="35"/>
    <x v="0"/>
    <x v="4"/>
    <s v="Sat, Sun, Thu, Tue, Wed"/>
    <s v="Sat"/>
    <s v="Sun"/>
    <s v="Thu"/>
    <s v="Tue"/>
    <s v="Wed"/>
    <b v="0"/>
    <s v=""/>
    <m/>
    <m/>
    <m/>
    <d v="1899-12-30T13:07:00"/>
    <d v="1899-12-30T14:57:00"/>
    <x v="97"/>
    <b v="1"/>
    <s v="coconut_pineapple, berry_boost"/>
    <s v="coconut_pineapple"/>
    <s v="berry_boost"/>
    <x v="1"/>
    <x v="1"/>
    <x v="1"/>
  </r>
  <r>
    <n v="768"/>
    <x v="1"/>
    <x v="628"/>
    <x v="23"/>
    <n v="18"/>
    <x v="1"/>
    <x v="3"/>
    <s v="Sun, Wed"/>
    <s v="Sun"/>
    <s v="Wed"/>
    <m/>
    <m/>
    <m/>
    <b v="0"/>
    <s v=""/>
    <m/>
    <m/>
    <m/>
    <d v="1899-12-30T14:16:00"/>
    <d v="1899-12-30T16:57:00"/>
    <x v="15"/>
    <b v="1"/>
    <s v="orange, coconut_pineapple"/>
    <s v="orange"/>
    <s v="coconut_pineapple"/>
    <x v="1"/>
    <x v="3"/>
    <x v="1"/>
  </r>
  <r>
    <n v="769"/>
    <x v="0"/>
    <x v="751"/>
    <x v="25"/>
    <n v="29"/>
    <x v="1"/>
    <x v="0"/>
    <s v="Fri, Sun, Thu, Wed"/>
    <s v="Fri"/>
    <s v="Sun"/>
    <s v="Thu"/>
    <s v="Wed"/>
    <m/>
    <b v="1"/>
    <s v="HIT, LesMiles"/>
    <s v="HIT"/>
    <s v="LesMiles"/>
    <m/>
    <d v="1899-12-30T13:25:00"/>
    <d v="1899-12-30T16:19:00"/>
    <x v="90"/>
    <b v="1"/>
    <s v="lemon"/>
    <s v="lemon"/>
    <m/>
    <x v="0"/>
    <x v="0"/>
    <x v="0"/>
  </r>
  <r>
    <n v="770"/>
    <x v="1"/>
    <x v="752"/>
    <x v="9"/>
    <n v="27"/>
    <x v="0"/>
    <x v="3"/>
    <s v="Fri, Sun"/>
    <s v="Fri"/>
    <s v="Sun"/>
    <m/>
    <m/>
    <m/>
    <b v="0"/>
    <s v=""/>
    <m/>
    <m/>
    <m/>
    <d v="1899-12-30T17:22:00"/>
    <d v="1899-12-30T18:50:00"/>
    <x v="58"/>
    <b v="1"/>
    <s v="coconut_pineapple, orange"/>
    <s v="coconut_pineapple"/>
    <s v="orange"/>
    <x v="1"/>
    <x v="1"/>
    <x v="1"/>
  </r>
  <r>
    <n v="771"/>
    <x v="0"/>
    <x v="753"/>
    <x v="12"/>
    <n v="36"/>
    <x v="0"/>
    <x v="2"/>
    <s v="Wed"/>
    <s v="Wed"/>
    <m/>
    <m/>
    <m/>
    <m/>
    <b v="0"/>
    <s v=""/>
    <m/>
    <m/>
    <m/>
    <d v="1899-12-30T20:00:00"/>
    <d v="1899-12-30T21:49:00"/>
    <x v="92"/>
    <b v="0"/>
    <s v=""/>
    <m/>
    <m/>
    <x v="1"/>
    <x v="2"/>
    <x v="0"/>
  </r>
  <r>
    <n v="772"/>
    <x v="0"/>
    <x v="754"/>
    <x v="25"/>
    <n v="29"/>
    <x v="1"/>
    <x v="3"/>
    <s v="Fri, Tue"/>
    <s v="Fri"/>
    <s v="Tue"/>
    <m/>
    <m/>
    <m/>
    <b v="0"/>
    <s v=""/>
    <m/>
    <m/>
    <m/>
    <d v="1899-12-30T20:52:00"/>
    <d v="1899-12-30T22:40:00"/>
    <x v="84"/>
    <b v="0"/>
    <s v=""/>
    <m/>
    <m/>
    <x v="1"/>
    <x v="1"/>
    <x v="1"/>
  </r>
  <r>
    <n v="773"/>
    <x v="1"/>
    <x v="755"/>
    <x v="12"/>
    <n v="36"/>
    <x v="1"/>
    <x v="1"/>
    <s v="Fri, Sun, Wed"/>
    <s v="Fri"/>
    <s v="Sun"/>
    <s v="Wed"/>
    <m/>
    <m/>
    <b v="1"/>
    <s v="Spinning"/>
    <s v="Spinning"/>
    <m/>
    <m/>
    <d v="1899-12-30T18:25:00"/>
    <d v="1899-12-30T20:10:00"/>
    <x v="94"/>
    <b v="1"/>
    <s v="passion_fruit"/>
    <s v="passion_fruit"/>
    <m/>
    <x v="1"/>
    <x v="1"/>
    <x v="1"/>
  </r>
  <r>
    <n v="774"/>
    <x v="1"/>
    <x v="756"/>
    <x v="12"/>
    <n v="36"/>
    <x v="0"/>
    <x v="0"/>
    <s v="Mon, Sun, Thu, Wed"/>
    <s v="Mon"/>
    <s v="Sun"/>
    <s v="Thu"/>
    <s v="Wed"/>
    <m/>
    <b v="0"/>
    <s v=""/>
    <m/>
    <m/>
    <m/>
    <d v="1899-12-30T12:32:00"/>
    <d v="1899-12-30T13:02:00"/>
    <x v="46"/>
    <b v="0"/>
    <s v=""/>
    <m/>
    <m/>
    <x v="0"/>
    <x v="0"/>
    <x v="1"/>
  </r>
  <r>
    <n v="775"/>
    <x v="0"/>
    <x v="757"/>
    <x v="35"/>
    <n v="12"/>
    <x v="0"/>
    <x v="4"/>
    <s v="Fri, Mon, Sun, Thu, Tue"/>
    <s v="Fri"/>
    <s v="Mon"/>
    <s v="Sun"/>
    <s v="Thu"/>
    <s v="Tue"/>
    <b v="1"/>
    <s v="LesMiles"/>
    <s v="LesMiles"/>
    <m/>
    <m/>
    <d v="1899-12-30T09:35:00"/>
    <d v="1899-12-30T11:45:00"/>
    <x v="28"/>
    <b v="1"/>
    <s v="black_currant"/>
    <s v="black_currant"/>
    <m/>
    <x v="0"/>
    <x v="0"/>
    <x v="1"/>
  </r>
  <r>
    <n v="776"/>
    <x v="1"/>
    <x v="603"/>
    <x v="11"/>
    <n v="34"/>
    <x v="0"/>
    <x v="3"/>
    <s v="Mon, Sat"/>
    <s v="Mon"/>
    <s v="Sat"/>
    <m/>
    <m/>
    <m/>
    <b v="0"/>
    <s v=""/>
    <m/>
    <m/>
    <m/>
    <d v="1899-12-30T18:44:00"/>
    <d v="1899-12-30T19:47:00"/>
    <x v="143"/>
    <b v="1"/>
    <s v="coconut_pineapple"/>
    <s v="coconut_pineapple"/>
    <m/>
    <x v="0"/>
    <x v="0"/>
    <x v="0"/>
  </r>
  <r>
    <n v="777"/>
    <x v="0"/>
    <x v="758"/>
    <x v="3"/>
    <n v="44"/>
    <x v="0"/>
    <x v="3"/>
    <s v="Mon, Sun"/>
    <s v="Mon"/>
    <s v="Sun"/>
    <m/>
    <m/>
    <m/>
    <b v="0"/>
    <s v=""/>
    <m/>
    <m/>
    <m/>
    <d v="1899-12-30T14:58:00"/>
    <d v="1899-12-30T17:38:00"/>
    <x v="21"/>
    <b v="1"/>
    <s v="lemon, orange"/>
    <s v="lemon"/>
    <s v="orange"/>
    <x v="1"/>
    <x v="4"/>
    <x v="0"/>
  </r>
  <r>
    <n v="778"/>
    <x v="1"/>
    <x v="759"/>
    <x v="1"/>
    <n v="46"/>
    <x v="0"/>
    <x v="1"/>
    <s v="Mon, Thu, Tue"/>
    <s v="Mon"/>
    <s v="Thu"/>
    <s v="Tue"/>
    <m/>
    <m/>
    <b v="1"/>
    <s v="Pilates"/>
    <s v="Pilates"/>
    <m/>
    <m/>
    <d v="1899-12-30T20:17:00"/>
    <d v="1899-12-30T21:11:00"/>
    <x v="55"/>
    <b v="0"/>
    <s v=""/>
    <m/>
    <m/>
    <x v="0"/>
    <x v="0"/>
    <x v="0"/>
  </r>
  <r>
    <n v="779"/>
    <x v="0"/>
    <x v="760"/>
    <x v="12"/>
    <n v="37"/>
    <x v="1"/>
    <x v="2"/>
    <s v="Sat"/>
    <s v="Sat"/>
    <m/>
    <m/>
    <m/>
    <m/>
    <b v="1"/>
    <s v="HIT"/>
    <s v="HIT"/>
    <m/>
    <m/>
    <d v="1899-12-30T08:37:00"/>
    <d v="1899-12-30T10:12:00"/>
    <x v="7"/>
    <b v="1"/>
    <s v="orange, passion_fruit"/>
    <s v="orange"/>
    <s v="passion_fruit"/>
    <x v="1"/>
    <x v="2"/>
    <x v="1"/>
  </r>
  <r>
    <n v="780"/>
    <x v="0"/>
    <x v="761"/>
    <x v="8"/>
    <n v="24"/>
    <x v="0"/>
    <x v="1"/>
    <s v="Mon, Sat, Sun"/>
    <s v="Mon"/>
    <s v="Sat"/>
    <s v="Sun"/>
    <m/>
    <m/>
    <b v="0"/>
    <s v=""/>
    <m/>
    <m/>
    <m/>
    <d v="1899-12-30T13:20:00"/>
    <d v="1899-12-30T14:54:00"/>
    <x v="68"/>
    <b v="0"/>
    <s v=""/>
    <m/>
    <m/>
    <x v="0"/>
    <x v="0"/>
    <x v="0"/>
  </r>
  <r>
    <n v="781"/>
    <x v="1"/>
    <x v="762"/>
    <x v="1"/>
    <n v="46"/>
    <x v="0"/>
    <x v="0"/>
    <s v="Mon, Sat, Thu, Wed"/>
    <s v="Mon"/>
    <s v="Sat"/>
    <s v="Thu"/>
    <s v="Wed"/>
    <m/>
    <b v="1"/>
    <s v="Pilates, LesMiles"/>
    <s v="Pilates"/>
    <s v="LesMiles"/>
    <m/>
    <d v="1899-12-30T16:32:00"/>
    <d v="1899-12-30T18:14:00"/>
    <x v="23"/>
    <b v="1"/>
    <s v="lemon, orange"/>
    <s v="lemon"/>
    <s v="orange"/>
    <x v="1"/>
    <x v="4"/>
    <x v="0"/>
  </r>
  <r>
    <n v="782"/>
    <x v="0"/>
    <x v="763"/>
    <x v="7"/>
    <n v="20"/>
    <x v="0"/>
    <x v="3"/>
    <s v="Sun, Tue"/>
    <s v="Sun"/>
    <s v="Tue"/>
    <m/>
    <m/>
    <m/>
    <b v="0"/>
    <s v=""/>
    <m/>
    <m/>
    <m/>
    <d v="1899-12-30T14:03:00"/>
    <d v="1899-12-30T16:48:00"/>
    <x v="54"/>
    <b v="1"/>
    <s v="orange"/>
    <s v="orange"/>
    <m/>
    <x v="1"/>
    <x v="4"/>
    <x v="0"/>
  </r>
  <r>
    <n v="783"/>
    <x v="1"/>
    <x v="764"/>
    <x v="16"/>
    <n v="32"/>
    <x v="1"/>
    <x v="1"/>
    <s v="Fri, Sun, Tue"/>
    <s v="Fri"/>
    <s v="Sun"/>
    <s v="Tue"/>
    <m/>
    <m/>
    <b v="1"/>
    <s v="XCore, Spinning"/>
    <s v="XCore"/>
    <s v="Spinning"/>
    <m/>
    <d v="1899-12-30T12:16:00"/>
    <d v="1899-12-30T13:03:00"/>
    <x v="99"/>
    <b v="0"/>
    <s v=""/>
    <m/>
    <m/>
    <x v="1"/>
    <x v="2"/>
    <x v="1"/>
  </r>
  <r>
    <n v="784"/>
    <x v="0"/>
    <x v="765"/>
    <x v="9"/>
    <n v="26"/>
    <x v="1"/>
    <x v="1"/>
    <s v="Thu, Tue, Wed"/>
    <s v="Thu"/>
    <s v="Tue"/>
    <s v="Wed"/>
    <m/>
    <m/>
    <b v="0"/>
    <s v=""/>
    <m/>
    <m/>
    <m/>
    <d v="1899-12-30T09:38:00"/>
    <d v="1899-12-30T10:45:00"/>
    <x v="82"/>
    <b v="0"/>
    <s v=""/>
    <m/>
    <m/>
    <x v="1"/>
    <x v="4"/>
    <x v="0"/>
  </r>
  <r>
    <n v="785"/>
    <x v="0"/>
    <x v="766"/>
    <x v="15"/>
    <n v="38"/>
    <x v="1"/>
    <x v="2"/>
    <s v="Fri"/>
    <s v="Fri"/>
    <m/>
    <m/>
    <m/>
    <m/>
    <b v="1"/>
    <s v="BodyPump"/>
    <s v="BodyPump"/>
    <m/>
    <m/>
    <d v="1899-12-30T18:29:00"/>
    <d v="1899-12-30T20:58:00"/>
    <x v="18"/>
    <b v="0"/>
    <s v=""/>
    <m/>
    <m/>
    <x v="0"/>
    <x v="0"/>
    <x v="0"/>
  </r>
  <r>
    <n v="786"/>
    <x v="0"/>
    <x v="767"/>
    <x v="3"/>
    <n v="45"/>
    <x v="0"/>
    <x v="0"/>
    <s v="Fri, Thu, Tue, Wed"/>
    <s v="Fri"/>
    <s v="Thu"/>
    <s v="Tue"/>
    <s v="Wed"/>
    <m/>
    <b v="0"/>
    <s v=""/>
    <m/>
    <m/>
    <m/>
    <d v="1899-12-30T19:32:00"/>
    <d v="1899-12-30T20:18:00"/>
    <x v="149"/>
    <b v="1"/>
    <s v="orange, coconut_pineapple"/>
    <s v="orange"/>
    <s v="coconut_pineapple"/>
    <x v="0"/>
    <x v="0"/>
    <x v="1"/>
  </r>
  <r>
    <n v="787"/>
    <x v="0"/>
    <x v="768"/>
    <x v="7"/>
    <n v="20"/>
    <x v="1"/>
    <x v="2"/>
    <s v="Fri"/>
    <s v="Fri"/>
    <m/>
    <m/>
    <m/>
    <m/>
    <b v="0"/>
    <s v=""/>
    <m/>
    <m/>
    <m/>
    <d v="1899-12-30T11:35:00"/>
    <d v="1899-12-30T13:30:00"/>
    <x v="103"/>
    <b v="0"/>
    <s v=""/>
    <m/>
    <m/>
    <x v="0"/>
    <x v="0"/>
    <x v="0"/>
  </r>
  <r>
    <n v="788"/>
    <x v="1"/>
    <x v="769"/>
    <x v="27"/>
    <n v="48"/>
    <x v="1"/>
    <x v="1"/>
    <s v="Mon, Sat, Tue"/>
    <s v="Mon"/>
    <s v="Sat"/>
    <s v="Tue"/>
    <m/>
    <m/>
    <b v="0"/>
    <s v=""/>
    <m/>
    <m/>
    <m/>
    <d v="1899-12-30T19:44:00"/>
    <d v="1899-12-30T20:51:00"/>
    <x v="82"/>
    <b v="1"/>
    <s v="coconut_pineapple"/>
    <s v="coconut_pineapple"/>
    <m/>
    <x v="0"/>
    <x v="0"/>
    <x v="1"/>
  </r>
  <r>
    <n v="789"/>
    <x v="0"/>
    <x v="770"/>
    <x v="2"/>
    <n v="41"/>
    <x v="0"/>
    <x v="0"/>
    <s v="Fri, Mon, Thu, Wed"/>
    <s v="Fri"/>
    <s v="Mon"/>
    <s v="Thu"/>
    <s v="Wed"/>
    <m/>
    <b v="0"/>
    <s v=""/>
    <m/>
    <m/>
    <m/>
    <d v="1899-12-30T17:08:00"/>
    <d v="1899-12-30T18:16:00"/>
    <x v="48"/>
    <b v="1"/>
    <s v="coconut_pineapple, black_currant"/>
    <s v="coconut_pineapple"/>
    <s v="black_currant"/>
    <x v="1"/>
    <x v="3"/>
    <x v="1"/>
  </r>
  <r>
    <n v="790"/>
    <x v="1"/>
    <x v="771"/>
    <x v="8"/>
    <n v="24"/>
    <x v="1"/>
    <x v="3"/>
    <s v="Sun, Thu"/>
    <s v="Sun"/>
    <s v="Thu"/>
    <m/>
    <m/>
    <m/>
    <b v="0"/>
    <s v=""/>
    <m/>
    <m/>
    <m/>
    <d v="1899-12-30T13:22:00"/>
    <d v="1899-12-30T14:37:00"/>
    <x v="125"/>
    <b v="1"/>
    <s v="berry_boost, black_currant"/>
    <s v="berry_boost"/>
    <s v="black_currant"/>
    <x v="1"/>
    <x v="3"/>
    <x v="1"/>
  </r>
  <r>
    <n v="791"/>
    <x v="0"/>
    <x v="772"/>
    <x v="21"/>
    <n v="47"/>
    <x v="1"/>
    <x v="1"/>
    <s v="Sat, Thu, Tue"/>
    <s v="Sat"/>
    <s v="Thu"/>
    <s v="Tue"/>
    <m/>
    <m/>
    <b v="0"/>
    <s v=""/>
    <m/>
    <m/>
    <m/>
    <d v="1899-12-30T16:49:00"/>
    <d v="1899-12-30T19:46:00"/>
    <x v="56"/>
    <b v="1"/>
    <s v="berry_boost, orange"/>
    <s v="berry_boost"/>
    <s v="orange"/>
    <x v="0"/>
    <x v="0"/>
    <x v="1"/>
  </r>
  <r>
    <n v="792"/>
    <x v="0"/>
    <x v="773"/>
    <x v="20"/>
    <n v="42"/>
    <x v="0"/>
    <x v="1"/>
    <s v="Mon, Sun, Thu"/>
    <s v="Mon"/>
    <s v="Sun"/>
    <s v="Thu"/>
    <m/>
    <m/>
    <b v="1"/>
    <s v="HIT, Spinning"/>
    <s v="HIT"/>
    <s v="Spinning"/>
    <m/>
    <d v="1899-12-30T11:44:00"/>
    <d v="1899-12-30T13:19:00"/>
    <x v="7"/>
    <b v="0"/>
    <s v=""/>
    <m/>
    <m/>
    <x v="1"/>
    <x v="1"/>
    <x v="0"/>
  </r>
  <r>
    <n v="793"/>
    <x v="1"/>
    <x v="774"/>
    <x v="32"/>
    <n v="33"/>
    <x v="1"/>
    <x v="2"/>
    <s v="Fri"/>
    <s v="Fri"/>
    <m/>
    <m/>
    <m/>
    <m/>
    <b v="1"/>
    <s v="Running, Pilates, XCore"/>
    <s v="Running"/>
    <s v="Pilates"/>
    <s v="XCore"/>
    <d v="1899-12-30T16:06:00"/>
    <d v="1899-12-30T17:02:00"/>
    <x v="81"/>
    <b v="0"/>
    <s v=""/>
    <m/>
    <m/>
    <x v="0"/>
    <x v="0"/>
    <x v="1"/>
  </r>
  <r>
    <n v="794"/>
    <x v="0"/>
    <x v="775"/>
    <x v="8"/>
    <n v="24"/>
    <x v="1"/>
    <x v="0"/>
    <s v="Mon, Sat, Sun, Thu"/>
    <s v="Mon"/>
    <s v="Sat"/>
    <s v="Sun"/>
    <s v="Thu"/>
    <m/>
    <b v="0"/>
    <s v=""/>
    <m/>
    <m/>
    <m/>
    <d v="1899-12-30T17:17:00"/>
    <d v="1899-12-30T20:05:00"/>
    <x v="104"/>
    <b v="1"/>
    <s v="black_currant, coconut_pineapple"/>
    <s v="black_currant"/>
    <s v="coconut_pineapple"/>
    <x v="0"/>
    <x v="0"/>
    <x v="1"/>
  </r>
  <r>
    <n v="795"/>
    <x v="1"/>
    <x v="776"/>
    <x v="25"/>
    <n v="29"/>
    <x v="1"/>
    <x v="2"/>
    <s v="Tue"/>
    <s v="Tue"/>
    <m/>
    <m/>
    <m/>
    <m/>
    <b v="1"/>
    <s v="LesMiles, Running, Zumba"/>
    <s v="LesMiles"/>
    <s v="Running"/>
    <s v="Zumba"/>
    <d v="1899-12-30T12:59:00"/>
    <d v="1899-12-30T14:02:00"/>
    <x v="143"/>
    <b v="0"/>
    <s v=""/>
    <m/>
    <m/>
    <x v="1"/>
    <x v="2"/>
    <x v="0"/>
  </r>
  <r>
    <n v="796"/>
    <x v="0"/>
    <x v="777"/>
    <x v="25"/>
    <n v="30"/>
    <x v="1"/>
    <x v="0"/>
    <s v="Fri, Mon, Sat, Wed"/>
    <s v="Fri"/>
    <s v="Mon"/>
    <s v="Sat"/>
    <s v="Wed"/>
    <m/>
    <b v="1"/>
    <s v="HIT"/>
    <s v="HIT"/>
    <m/>
    <m/>
    <d v="1899-12-30T09:21:00"/>
    <d v="1899-12-30T11:31:00"/>
    <x v="28"/>
    <b v="1"/>
    <s v="berry_boost, black_currant"/>
    <s v="berry_boost"/>
    <s v="black_currant"/>
    <x v="1"/>
    <x v="3"/>
    <x v="0"/>
  </r>
  <r>
    <n v="797"/>
    <x v="1"/>
    <x v="778"/>
    <x v="1"/>
    <n v="46"/>
    <x v="1"/>
    <x v="4"/>
    <s v="Fri, Mon, Sat, Tue, Wed"/>
    <s v="Fri"/>
    <s v="Mon"/>
    <s v="Sat"/>
    <s v="Tue"/>
    <s v="Wed"/>
    <b v="1"/>
    <s v="Spinning, Yoga"/>
    <s v="Spinning"/>
    <s v="Yoga"/>
    <m/>
    <d v="1899-12-30T09:41:00"/>
    <d v="1899-12-30T12:38:00"/>
    <x v="56"/>
    <b v="1"/>
    <s v="orange"/>
    <s v="orange"/>
    <m/>
    <x v="1"/>
    <x v="1"/>
    <x v="0"/>
  </r>
  <r>
    <n v="798"/>
    <x v="1"/>
    <x v="779"/>
    <x v="12"/>
    <n v="36"/>
    <x v="1"/>
    <x v="2"/>
    <s v="Tue"/>
    <s v="Tue"/>
    <m/>
    <m/>
    <m/>
    <m/>
    <b v="1"/>
    <s v="BodyBalance"/>
    <s v="BodyBalance"/>
    <m/>
    <m/>
    <d v="1899-12-30T20:44:00"/>
    <d v="1899-12-30T22:22:00"/>
    <x v="29"/>
    <b v="1"/>
    <s v="black_currant"/>
    <s v="black_currant"/>
    <m/>
    <x v="1"/>
    <x v="1"/>
    <x v="0"/>
  </r>
  <r>
    <n v="799"/>
    <x v="0"/>
    <x v="780"/>
    <x v="25"/>
    <n v="29"/>
    <x v="1"/>
    <x v="0"/>
    <s v="Mon, Sat, Tue, Wed"/>
    <s v="Mon"/>
    <s v="Sat"/>
    <s v="Tue"/>
    <s v="Wed"/>
    <m/>
    <b v="1"/>
    <s v="Running, Spinning"/>
    <s v="Running"/>
    <s v="Spinning"/>
    <m/>
    <d v="1899-12-30T09:11:00"/>
    <d v="1899-12-30T10:48:00"/>
    <x v="124"/>
    <b v="0"/>
    <s v=""/>
    <m/>
    <m/>
    <x v="0"/>
    <x v="0"/>
    <x v="0"/>
  </r>
  <r>
    <n v="800"/>
    <x v="0"/>
    <x v="781"/>
    <x v="11"/>
    <n v="34"/>
    <x v="0"/>
    <x v="1"/>
    <s v="Fri, Sun, Wed"/>
    <s v="Fri"/>
    <s v="Sun"/>
    <s v="Wed"/>
    <m/>
    <m/>
    <b v="0"/>
    <s v=""/>
    <m/>
    <m/>
    <m/>
    <d v="1899-12-30T09:21:00"/>
    <d v="1899-12-30T11:11:00"/>
    <x v="97"/>
    <b v="1"/>
    <s v="lemon"/>
    <s v="lemon"/>
    <m/>
    <x v="0"/>
    <x v="0"/>
    <x v="1"/>
  </r>
  <r>
    <n v="801"/>
    <x v="0"/>
    <x v="782"/>
    <x v="21"/>
    <n v="47"/>
    <x v="1"/>
    <x v="3"/>
    <s v="Fri, Tue"/>
    <s v="Fri"/>
    <s v="Tue"/>
    <m/>
    <m/>
    <m/>
    <b v="1"/>
    <s v="LesMiles, Yoga"/>
    <s v="LesMiles"/>
    <s v="Yoga"/>
    <m/>
    <d v="1899-12-30T19:19:00"/>
    <d v="1899-12-30T20:50:00"/>
    <x v="26"/>
    <b v="0"/>
    <s v=""/>
    <m/>
    <m/>
    <x v="0"/>
    <x v="0"/>
    <x v="1"/>
  </r>
  <r>
    <n v="802"/>
    <x v="0"/>
    <x v="783"/>
    <x v="9"/>
    <n v="26"/>
    <x v="0"/>
    <x v="3"/>
    <s v="Sun, Thu"/>
    <s v="Sun"/>
    <s v="Thu"/>
    <m/>
    <m/>
    <m/>
    <b v="1"/>
    <s v="Spinning"/>
    <s v="Spinning"/>
    <m/>
    <m/>
    <d v="1899-12-30T08:00:00"/>
    <d v="1899-12-30T09:42:00"/>
    <x v="23"/>
    <b v="0"/>
    <s v=""/>
    <m/>
    <m/>
    <x v="1"/>
    <x v="4"/>
    <x v="0"/>
  </r>
  <r>
    <n v="803"/>
    <x v="0"/>
    <x v="784"/>
    <x v="2"/>
    <n v="41"/>
    <x v="1"/>
    <x v="1"/>
    <s v="Fri, Mon, Wed"/>
    <s v="Fri"/>
    <s v="Mon"/>
    <s v="Wed"/>
    <m/>
    <m/>
    <b v="0"/>
    <s v=""/>
    <m/>
    <m/>
    <m/>
    <d v="1899-12-30T09:26:00"/>
    <d v="1899-12-30T10:35:00"/>
    <x v="43"/>
    <b v="1"/>
    <s v="passion_fruit"/>
    <s v="passion_fruit"/>
    <m/>
    <x v="0"/>
    <x v="0"/>
    <x v="0"/>
  </r>
  <r>
    <n v="804"/>
    <x v="1"/>
    <x v="785"/>
    <x v="23"/>
    <n v="18"/>
    <x v="0"/>
    <x v="0"/>
    <s v="Mon, Sat, Thu, Wed"/>
    <s v="Mon"/>
    <s v="Sat"/>
    <s v="Thu"/>
    <s v="Wed"/>
    <m/>
    <b v="0"/>
    <s v=""/>
    <m/>
    <m/>
    <m/>
    <d v="1899-12-30T08:59:00"/>
    <d v="1899-12-30T10:43:00"/>
    <x v="79"/>
    <b v="0"/>
    <s v=""/>
    <m/>
    <m/>
    <x v="1"/>
    <x v="2"/>
    <x v="1"/>
  </r>
  <r>
    <n v="805"/>
    <x v="0"/>
    <x v="786"/>
    <x v="27"/>
    <n v="48"/>
    <x v="0"/>
    <x v="3"/>
    <s v="Mon, Thu"/>
    <s v="Mon"/>
    <s v="Thu"/>
    <m/>
    <m/>
    <m/>
    <b v="1"/>
    <s v="BodyPump, XCore, Zumba"/>
    <s v="BodyPump"/>
    <s v="XCore"/>
    <s v="Zumba"/>
    <d v="1899-12-30T08:15:00"/>
    <d v="1899-12-30T10:01:00"/>
    <x v="67"/>
    <b v="1"/>
    <s v="lemon"/>
    <s v="lemon"/>
    <m/>
    <x v="1"/>
    <x v="3"/>
    <x v="0"/>
  </r>
  <r>
    <n v="806"/>
    <x v="0"/>
    <x v="787"/>
    <x v="38"/>
    <n v="25"/>
    <x v="0"/>
    <x v="4"/>
    <s v="Fri, Sat, Sun, Thu, Tue"/>
    <s v="Fri"/>
    <s v="Sat"/>
    <s v="Sun"/>
    <s v="Thu"/>
    <s v="Tue"/>
    <b v="0"/>
    <s v=""/>
    <m/>
    <m/>
    <m/>
    <d v="1899-12-30T16:13:00"/>
    <d v="1899-12-30T18:45:00"/>
    <x v="150"/>
    <b v="0"/>
    <s v=""/>
    <m/>
    <m/>
    <x v="0"/>
    <x v="0"/>
    <x v="1"/>
  </r>
  <r>
    <n v="807"/>
    <x v="0"/>
    <x v="95"/>
    <x v="22"/>
    <n v="40"/>
    <x v="0"/>
    <x v="0"/>
    <s v="Sat, Sun, Thu, Tue"/>
    <s v="Sat"/>
    <s v="Sun"/>
    <s v="Thu"/>
    <s v="Tue"/>
    <m/>
    <b v="1"/>
    <s v="Yoga"/>
    <s v="Yoga"/>
    <m/>
    <m/>
    <d v="1899-12-30T19:35:00"/>
    <d v="1899-12-30T21:08:00"/>
    <x v="41"/>
    <b v="0"/>
    <s v=""/>
    <m/>
    <m/>
    <x v="0"/>
    <x v="0"/>
    <x v="1"/>
  </r>
  <r>
    <n v="808"/>
    <x v="0"/>
    <x v="788"/>
    <x v="0"/>
    <n v="27"/>
    <x v="0"/>
    <x v="0"/>
    <s v="Mon, Sun, Thu, Wed"/>
    <s v="Mon"/>
    <s v="Sun"/>
    <s v="Thu"/>
    <s v="Wed"/>
    <m/>
    <b v="0"/>
    <s v=""/>
    <m/>
    <m/>
    <m/>
    <d v="1899-12-30T16:32:00"/>
    <d v="1899-12-30T18:42:00"/>
    <x v="28"/>
    <b v="1"/>
    <s v="orange"/>
    <s v="orange"/>
    <m/>
    <x v="1"/>
    <x v="4"/>
    <x v="1"/>
  </r>
  <r>
    <n v="809"/>
    <x v="0"/>
    <x v="789"/>
    <x v="11"/>
    <n v="34"/>
    <x v="0"/>
    <x v="3"/>
    <s v="Fri, Sun"/>
    <s v="Fri"/>
    <s v="Sun"/>
    <m/>
    <m/>
    <m/>
    <b v="0"/>
    <s v=""/>
    <m/>
    <m/>
    <m/>
    <d v="1899-12-30T13:25:00"/>
    <d v="1899-12-30T16:17:00"/>
    <x v="72"/>
    <b v="1"/>
    <s v="berry_boost"/>
    <s v="berry_boost"/>
    <m/>
    <x v="0"/>
    <x v="0"/>
    <x v="1"/>
  </r>
  <r>
    <n v="810"/>
    <x v="1"/>
    <x v="790"/>
    <x v="25"/>
    <n v="30"/>
    <x v="0"/>
    <x v="3"/>
    <s v="Sun, Wed"/>
    <s v="Sun"/>
    <s v="Wed"/>
    <m/>
    <m/>
    <m/>
    <b v="1"/>
    <s v="BodyBalance, Yoga, Running"/>
    <s v="BodyBalance"/>
    <s v="Yoga"/>
    <s v="Running"/>
    <d v="1899-12-30T14:19:00"/>
    <d v="1899-12-30T16:18:00"/>
    <x v="16"/>
    <b v="1"/>
    <s v="orange, berry_boost"/>
    <s v="orange"/>
    <s v="berry_boost"/>
    <x v="1"/>
    <x v="1"/>
    <x v="1"/>
  </r>
  <r>
    <n v="811"/>
    <x v="1"/>
    <x v="791"/>
    <x v="6"/>
    <n v="30"/>
    <x v="0"/>
    <x v="3"/>
    <s v="Sat, Thu"/>
    <s v="Sat"/>
    <s v="Thu"/>
    <m/>
    <m/>
    <m/>
    <b v="0"/>
    <s v=""/>
    <m/>
    <m/>
    <m/>
    <d v="1899-12-30T11:18:00"/>
    <d v="1899-12-30T13:15:00"/>
    <x v="73"/>
    <b v="0"/>
    <s v=""/>
    <m/>
    <m/>
    <x v="1"/>
    <x v="3"/>
    <x v="1"/>
  </r>
  <r>
    <n v="812"/>
    <x v="1"/>
    <x v="792"/>
    <x v="18"/>
    <n v="19"/>
    <x v="0"/>
    <x v="2"/>
    <s v="Wed"/>
    <s v="Wed"/>
    <m/>
    <m/>
    <m/>
    <m/>
    <b v="1"/>
    <s v="LesMiles"/>
    <s v="LesMiles"/>
    <m/>
    <m/>
    <d v="1899-12-30T14:30:00"/>
    <d v="1899-12-30T17:29:00"/>
    <x v="120"/>
    <b v="0"/>
    <s v=""/>
    <m/>
    <m/>
    <x v="1"/>
    <x v="4"/>
    <x v="0"/>
  </r>
  <r>
    <n v="813"/>
    <x v="1"/>
    <x v="793"/>
    <x v="36"/>
    <n v="49"/>
    <x v="1"/>
    <x v="4"/>
    <s v="Mon, Sat, Sun, Thu, Tue"/>
    <s v="Mon"/>
    <s v="Sat"/>
    <s v="Sun"/>
    <s v="Thu"/>
    <s v="Tue"/>
    <b v="0"/>
    <s v=""/>
    <m/>
    <m/>
    <m/>
    <d v="1899-12-30T14:07:00"/>
    <d v="1899-12-30T15:03:00"/>
    <x v="81"/>
    <b v="1"/>
    <s v="berry_boost, orange"/>
    <s v="berry_boost"/>
    <s v="orange"/>
    <x v="0"/>
    <x v="0"/>
    <x v="1"/>
  </r>
  <r>
    <n v="814"/>
    <x v="0"/>
    <x v="794"/>
    <x v="0"/>
    <n v="27"/>
    <x v="1"/>
    <x v="2"/>
    <s v="Sun"/>
    <s v="Sun"/>
    <m/>
    <m/>
    <m/>
    <m/>
    <b v="1"/>
    <s v="Spinning"/>
    <s v="Spinning"/>
    <m/>
    <m/>
    <d v="1899-12-30T15:34:00"/>
    <d v="1899-12-30T17:58:00"/>
    <x v="9"/>
    <b v="1"/>
    <s v="berry_boost"/>
    <s v="berry_boost"/>
    <m/>
    <x v="1"/>
    <x v="1"/>
    <x v="0"/>
  </r>
  <r>
    <n v="815"/>
    <x v="0"/>
    <x v="795"/>
    <x v="15"/>
    <n v="38"/>
    <x v="0"/>
    <x v="2"/>
    <s v="Tue"/>
    <s v="Tue"/>
    <m/>
    <m/>
    <m/>
    <m/>
    <b v="0"/>
    <s v=""/>
    <m/>
    <m/>
    <m/>
    <d v="1899-12-30T14:12:00"/>
    <d v="1899-12-30T14:59:00"/>
    <x v="99"/>
    <b v="0"/>
    <s v=""/>
    <m/>
    <m/>
    <x v="0"/>
    <x v="0"/>
    <x v="1"/>
  </r>
  <r>
    <n v="816"/>
    <x v="1"/>
    <x v="796"/>
    <x v="21"/>
    <n v="47"/>
    <x v="1"/>
    <x v="3"/>
    <s v="Sat, Thu"/>
    <s v="Sat"/>
    <s v="Thu"/>
    <m/>
    <m/>
    <m/>
    <b v="0"/>
    <s v=""/>
    <m/>
    <m/>
    <m/>
    <d v="1899-12-30T12:18:00"/>
    <d v="1899-12-30T13:33:00"/>
    <x v="125"/>
    <b v="1"/>
    <s v="orange"/>
    <s v="orange"/>
    <m/>
    <x v="1"/>
    <x v="2"/>
    <x v="1"/>
  </r>
  <r>
    <n v="817"/>
    <x v="0"/>
    <x v="797"/>
    <x v="15"/>
    <n v="39"/>
    <x v="1"/>
    <x v="1"/>
    <s v="Sat, Sun, Tue"/>
    <s v="Sat"/>
    <s v="Sun"/>
    <s v="Tue"/>
    <m/>
    <m/>
    <b v="0"/>
    <s v=""/>
    <m/>
    <m/>
    <m/>
    <d v="1899-12-30T17:06:00"/>
    <d v="1899-12-30T18:10:00"/>
    <x v="101"/>
    <b v="1"/>
    <s v="coconut_pineapple"/>
    <s v="coconut_pineapple"/>
    <m/>
    <x v="1"/>
    <x v="3"/>
    <x v="1"/>
  </r>
  <r>
    <n v="818"/>
    <x v="1"/>
    <x v="798"/>
    <x v="31"/>
    <n v="17"/>
    <x v="1"/>
    <x v="1"/>
    <s v="Fri, Mon, Tue"/>
    <s v="Fri"/>
    <s v="Mon"/>
    <s v="Tue"/>
    <m/>
    <m/>
    <b v="1"/>
    <s v="Pilates, Running, BodyPump"/>
    <s v="Pilates"/>
    <s v="Running"/>
    <s v="BodyPump"/>
    <d v="1899-12-30T11:51:00"/>
    <d v="1899-12-30T14:30:00"/>
    <x v="31"/>
    <b v="0"/>
    <s v=""/>
    <m/>
    <m/>
    <x v="0"/>
    <x v="0"/>
    <x v="0"/>
  </r>
  <r>
    <n v="819"/>
    <x v="0"/>
    <x v="799"/>
    <x v="7"/>
    <n v="20"/>
    <x v="1"/>
    <x v="1"/>
    <s v="Fri, Thu, Tue"/>
    <s v="Fri"/>
    <s v="Thu"/>
    <s v="Tue"/>
    <m/>
    <m/>
    <b v="0"/>
    <s v=""/>
    <m/>
    <m/>
    <m/>
    <d v="1899-12-30T08:23:00"/>
    <d v="1899-12-30T11:22:00"/>
    <x v="120"/>
    <b v="0"/>
    <s v=""/>
    <m/>
    <m/>
    <x v="0"/>
    <x v="0"/>
    <x v="1"/>
  </r>
  <r>
    <n v="820"/>
    <x v="0"/>
    <x v="800"/>
    <x v="5"/>
    <n v="15"/>
    <x v="1"/>
    <x v="1"/>
    <s v="Fri, Sun, Thu"/>
    <s v="Fri"/>
    <s v="Sun"/>
    <s v="Thu"/>
    <m/>
    <m/>
    <b v="0"/>
    <s v=""/>
    <m/>
    <m/>
    <m/>
    <d v="1899-12-30T14:33:00"/>
    <d v="1899-12-30T16:48:00"/>
    <x v="33"/>
    <b v="0"/>
    <s v=""/>
    <m/>
    <m/>
    <x v="0"/>
    <x v="0"/>
    <x v="0"/>
  </r>
  <r>
    <n v="821"/>
    <x v="0"/>
    <x v="801"/>
    <x v="15"/>
    <n v="38"/>
    <x v="0"/>
    <x v="1"/>
    <s v="Sat, Sun, Wed"/>
    <s v="Sat"/>
    <s v="Sun"/>
    <s v="Wed"/>
    <m/>
    <m/>
    <b v="1"/>
    <s v="XCore"/>
    <s v="XCore"/>
    <m/>
    <m/>
    <d v="1899-12-30T13:20:00"/>
    <d v="1899-12-30T14:42:00"/>
    <x v="42"/>
    <b v="0"/>
    <s v=""/>
    <m/>
    <m/>
    <x v="0"/>
    <x v="0"/>
    <x v="1"/>
  </r>
  <r>
    <n v="822"/>
    <x v="1"/>
    <x v="802"/>
    <x v="27"/>
    <n v="49"/>
    <x v="0"/>
    <x v="1"/>
    <s v="Mon, Sat, Sun"/>
    <s v="Mon"/>
    <s v="Sat"/>
    <s v="Sun"/>
    <m/>
    <m/>
    <b v="0"/>
    <s v=""/>
    <m/>
    <m/>
    <m/>
    <d v="1899-12-30T19:44:00"/>
    <d v="1899-12-30T20:26:00"/>
    <x v="75"/>
    <b v="1"/>
    <s v="orange, black_currant"/>
    <s v="orange"/>
    <s v="black_currant"/>
    <x v="1"/>
    <x v="1"/>
    <x v="0"/>
  </r>
  <r>
    <n v="823"/>
    <x v="0"/>
    <x v="803"/>
    <x v="26"/>
    <n v="28"/>
    <x v="1"/>
    <x v="0"/>
    <s v="Fri, Sat, Sun, Wed"/>
    <s v="Fri"/>
    <s v="Sat"/>
    <s v="Sun"/>
    <s v="Wed"/>
    <m/>
    <b v="0"/>
    <s v=""/>
    <m/>
    <m/>
    <m/>
    <d v="1899-12-30T16:33:00"/>
    <d v="1899-12-30T17:11:00"/>
    <x v="114"/>
    <b v="0"/>
    <s v=""/>
    <m/>
    <m/>
    <x v="0"/>
    <x v="0"/>
    <x v="0"/>
  </r>
  <r>
    <n v="824"/>
    <x v="0"/>
    <x v="804"/>
    <x v="15"/>
    <n v="38"/>
    <x v="1"/>
    <x v="4"/>
    <s v="Fri, Sat, Sun, Thu, Tue"/>
    <s v="Fri"/>
    <s v="Sat"/>
    <s v="Sun"/>
    <s v="Thu"/>
    <s v="Tue"/>
    <b v="0"/>
    <s v=""/>
    <m/>
    <m/>
    <m/>
    <d v="1899-12-30T17:59:00"/>
    <d v="1899-12-30T20:54:00"/>
    <x v="37"/>
    <b v="1"/>
    <s v="passion_fruit"/>
    <s v="passion_fruit"/>
    <m/>
    <x v="0"/>
    <x v="0"/>
    <x v="0"/>
  </r>
  <r>
    <n v="825"/>
    <x v="1"/>
    <x v="805"/>
    <x v="36"/>
    <n v="49"/>
    <x v="0"/>
    <x v="1"/>
    <s v="Sat, Sun, Tue"/>
    <s v="Sat"/>
    <s v="Sun"/>
    <s v="Tue"/>
    <m/>
    <m/>
    <b v="1"/>
    <s v="Zumba, BodyPump"/>
    <s v="Zumba"/>
    <s v="BodyPump"/>
    <m/>
    <d v="1899-12-30T10:53:00"/>
    <d v="1899-12-30T13:29:00"/>
    <x v="78"/>
    <b v="0"/>
    <s v=""/>
    <m/>
    <m/>
    <x v="1"/>
    <x v="2"/>
    <x v="1"/>
  </r>
  <r>
    <n v="826"/>
    <x v="0"/>
    <x v="806"/>
    <x v="16"/>
    <n v="32"/>
    <x v="1"/>
    <x v="2"/>
    <s v="Sat"/>
    <s v="Sat"/>
    <m/>
    <m/>
    <m/>
    <m/>
    <b v="0"/>
    <s v=""/>
    <m/>
    <m/>
    <m/>
    <d v="1899-12-30T17:58:00"/>
    <d v="1899-12-30T19:58:00"/>
    <x v="116"/>
    <b v="1"/>
    <s v="lemon"/>
    <s v="lemon"/>
    <m/>
    <x v="0"/>
    <x v="0"/>
    <x v="0"/>
  </r>
  <r>
    <n v="827"/>
    <x v="1"/>
    <x v="807"/>
    <x v="23"/>
    <n v="18"/>
    <x v="1"/>
    <x v="1"/>
    <s v="Mon, Thu, Wed"/>
    <s v="Mon"/>
    <s v="Thu"/>
    <s v="Wed"/>
    <m/>
    <m/>
    <b v="1"/>
    <s v="Running"/>
    <s v="Running"/>
    <m/>
    <m/>
    <d v="1899-12-30T14:33:00"/>
    <d v="1899-12-30T15:35:00"/>
    <x v="6"/>
    <b v="0"/>
    <s v=""/>
    <m/>
    <m/>
    <x v="0"/>
    <x v="0"/>
    <x v="1"/>
  </r>
  <r>
    <n v="828"/>
    <x v="0"/>
    <x v="808"/>
    <x v="23"/>
    <n v="18"/>
    <x v="0"/>
    <x v="3"/>
    <s v="Sat, Tue"/>
    <s v="Sat"/>
    <s v="Tue"/>
    <m/>
    <m/>
    <m/>
    <b v="1"/>
    <s v="Yoga, Spinning"/>
    <s v="Yoga"/>
    <s v="Spinning"/>
    <m/>
    <d v="1899-12-30T15:53:00"/>
    <d v="1899-12-30T16:42:00"/>
    <x v="64"/>
    <b v="0"/>
    <s v=""/>
    <m/>
    <m/>
    <x v="1"/>
    <x v="4"/>
    <x v="1"/>
  </r>
  <r>
    <n v="829"/>
    <x v="1"/>
    <x v="809"/>
    <x v="22"/>
    <n v="40"/>
    <x v="0"/>
    <x v="3"/>
    <s v="Sat, Wed"/>
    <s v="Sat"/>
    <s v="Wed"/>
    <m/>
    <m/>
    <m/>
    <b v="1"/>
    <s v="Kickboxen, BodyPump"/>
    <s v="Kickboxen"/>
    <s v="BodyPump"/>
    <m/>
    <d v="1899-12-30T09:40:00"/>
    <d v="1899-12-30T10:18:00"/>
    <x v="114"/>
    <b v="0"/>
    <s v=""/>
    <m/>
    <m/>
    <x v="1"/>
    <x v="4"/>
    <x v="0"/>
  </r>
  <r>
    <n v="830"/>
    <x v="1"/>
    <x v="810"/>
    <x v="20"/>
    <n v="42"/>
    <x v="0"/>
    <x v="4"/>
    <s v="Mon, Sat, Sun, Thu, Wed"/>
    <s v="Mon"/>
    <s v="Sat"/>
    <s v="Sun"/>
    <s v="Thu"/>
    <s v="Wed"/>
    <b v="1"/>
    <s v="LesMiles, XCore, BodyPump"/>
    <s v="LesMiles"/>
    <s v="XCore"/>
    <s v="BodyPump"/>
    <d v="1899-12-30T12:05:00"/>
    <d v="1899-12-30T14:14:00"/>
    <x v="141"/>
    <b v="1"/>
    <s v="berry_boost, passion_fruit"/>
    <s v="berry_boost"/>
    <s v="passion_fruit"/>
    <x v="1"/>
    <x v="2"/>
    <x v="1"/>
  </r>
  <r>
    <n v="831"/>
    <x v="1"/>
    <x v="811"/>
    <x v="0"/>
    <n v="28"/>
    <x v="1"/>
    <x v="0"/>
    <s v="Fri, Sat, Thu, Wed"/>
    <s v="Fri"/>
    <s v="Sat"/>
    <s v="Thu"/>
    <s v="Wed"/>
    <m/>
    <b v="0"/>
    <s v=""/>
    <m/>
    <m/>
    <m/>
    <d v="1899-12-30T09:35:00"/>
    <d v="1899-12-30T11:56:00"/>
    <x v="113"/>
    <b v="1"/>
    <s v="berry_boost"/>
    <s v="berry_boost"/>
    <m/>
    <x v="1"/>
    <x v="2"/>
    <x v="0"/>
  </r>
  <r>
    <n v="832"/>
    <x v="0"/>
    <x v="812"/>
    <x v="24"/>
    <n v="16"/>
    <x v="0"/>
    <x v="2"/>
    <s v="Wed"/>
    <s v="Wed"/>
    <m/>
    <m/>
    <m/>
    <m/>
    <b v="0"/>
    <s v=""/>
    <m/>
    <m/>
    <m/>
    <d v="1899-12-30T08:41:00"/>
    <d v="1899-12-30T11:33:00"/>
    <x v="72"/>
    <b v="0"/>
    <s v=""/>
    <m/>
    <m/>
    <x v="0"/>
    <x v="0"/>
    <x v="0"/>
  </r>
  <r>
    <n v="833"/>
    <x v="0"/>
    <x v="813"/>
    <x v="8"/>
    <n v="24"/>
    <x v="1"/>
    <x v="3"/>
    <s v="Sun, Tue"/>
    <s v="Sun"/>
    <s v="Tue"/>
    <m/>
    <m/>
    <m/>
    <b v="1"/>
    <s v="BodyBalance, Pilates"/>
    <s v="BodyBalance"/>
    <s v="Pilates"/>
    <m/>
    <d v="1899-12-30T17:44:00"/>
    <d v="1899-12-30T20:02:00"/>
    <x v="102"/>
    <b v="0"/>
    <s v=""/>
    <m/>
    <m/>
    <x v="1"/>
    <x v="4"/>
    <x v="0"/>
  </r>
  <r>
    <n v="834"/>
    <x v="1"/>
    <x v="814"/>
    <x v="17"/>
    <n v="14"/>
    <x v="1"/>
    <x v="1"/>
    <s v="Sat, Sun, Wed"/>
    <s v="Sat"/>
    <s v="Sun"/>
    <s v="Wed"/>
    <m/>
    <m/>
    <b v="0"/>
    <s v=""/>
    <m/>
    <m/>
    <m/>
    <d v="1899-12-30T19:16:00"/>
    <d v="1899-12-30T22:13:00"/>
    <x v="56"/>
    <b v="1"/>
    <s v="passion_fruit"/>
    <s v="passion_fruit"/>
    <m/>
    <x v="1"/>
    <x v="4"/>
    <x v="1"/>
  </r>
  <r>
    <n v="835"/>
    <x v="0"/>
    <x v="815"/>
    <x v="7"/>
    <n v="20"/>
    <x v="0"/>
    <x v="1"/>
    <s v="Fri, Thu, Tue"/>
    <s v="Fri"/>
    <s v="Thu"/>
    <s v="Tue"/>
    <m/>
    <m/>
    <b v="0"/>
    <s v=""/>
    <m/>
    <m/>
    <m/>
    <d v="1899-12-30T15:37:00"/>
    <d v="1899-12-30T18:07:00"/>
    <x v="98"/>
    <b v="0"/>
    <s v=""/>
    <m/>
    <m/>
    <x v="1"/>
    <x v="4"/>
    <x v="1"/>
  </r>
  <r>
    <n v="836"/>
    <x v="0"/>
    <x v="816"/>
    <x v="22"/>
    <n v="41"/>
    <x v="1"/>
    <x v="2"/>
    <s v="Fri"/>
    <s v="Fri"/>
    <m/>
    <m/>
    <m/>
    <m/>
    <b v="1"/>
    <s v="HIT, LesMiles"/>
    <s v="HIT"/>
    <s v="LesMiles"/>
    <m/>
    <d v="1899-12-30T09:46:00"/>
    <d v="1899-12-30T11:10:00"/>
    <x v="63"/>
    <b v="1"/>
    <s v="black_currant"/>
    <s v="black_currant"/>
    <m/>
    <x v="1"/>
    <x v="1"/>
    <x v="1"/>
  </r>
  <r>
    <n v="837"/>
    <x v="1"/>
    <x v="817"/>
    <x v="30"/>
    <n v="23"/>
    <x v="0"/>
    <x v="3"/>
    <s v="Fri, Tue"/>
    <s v="Fri"/>
    <s v="Tue"/>
    <m/>
    <m/>
    <m/>
    <b v="0"/>
    <s v=""/>
    <m/>
    <m/>
    <m/>
    <d v="1899-12-30T19:11:00"/>
    <d v="1899-12-30T20:19:00"/>
    <x v="48"/>
    <b v="1"/>
    <s v="coconut_pineapple, lemon"/>
    <s v="coconut_pineapple"/>
    <s v="lemon"/>
    <x v="1"/>
    <x v="1"/>
    <x v="0"/>
  </r>
  <r>
    <n v="838"/>
    <x v="1"/>
    <x v="818"/>
    <x v="36"/>
    <n v="49"/>
    <x v="1"/>
    <x v="1"/>
    <s v="Fri, Sat, Thu"/>
    <s v="Fri"/>
    <s v="Sat"/>
    <s v="Thu"/>
    <m/>
    <m/>
    <b v="1"/>
    <s v="Zumba, Running"/>
    <s v="Zumba"/>
    <s v="Running"/>
    <m/>
    <d v="1899-12-30T20:40:00"/>
    <d v="1899-12-30T21:24:00"/>
    <x v="122"/>
    <b v="0"/>
    <s v=""/>
    <m/>
    <m/>
    <x v="1"/>
    <x v="2"/>
    <x v="1"/>
  </r>
  <r>
    <n v="839"/>
    <x v="0"/>
    <x v="819"/>
    <x v="28"/>
    <n v="45"/>
    <x v="1"/>
    <x v="3"/>
    <s v="Thu, Wed"/>
    <s v="Thu"/>
    <s v="Wed"/>
    <m/>
    <m/>
    <m/>
    <b v="0"/>
    <s v=""/>
    <m/>
    <m/>
    <m/>
    <d v="1899-12-30T08:54:00"/>
    <d v="1899-12-30T10:19:00"/>
    <x v="87"/>
    <b v="0"/>
    <s v=""/>
    <m/>
    <m/>
    <x v="1"/>
    <x v="4"/>
    <x v="0"/>
  </r>
  <r>
    <n v="840"/>
    <x v="0"/>
    <x v="820"/>
    <x v="27"/>
    <n v="48"/>
    <x v="1"/>
    <x v="3"/>
    <s v="Fri, Tue"/>
    <s v="Fri"/>
    <s v="Tue"/>
    <m/>
    <m/>
    <m/>
    <b v="0"/>
    <s v=""/>
    <m/>
    <m/>
    <m/>
    <d v="1899-12-30T20:26:00"/>
    <d v="1899-12-30T22:46:00"/>
    <x v="74"/>
    <b v="0"/>
    <s v=""/>
    <m/>
    <m/>
    <x v="1"/>
    <x v="4"/>
    <x v="1"/>
  </r>
  <r>
    <n v="841"/>
    <x v="0"/>
    <x v="821"/>
    <x v="26"/>
    <n v="29"/>
    <x v="1"/>
    <x v="1"/>
    <s v="Mon, Sat, Sun"/>
    <s v="Mon"/>
    <s v="Sat"/>
    <s v="Sun"/>
    <m/>
    <m/>
    <b v="0"/>
    <s v=""/>
    <m/>
    <m/>
    <m/>
    <d v="1899-12-30T11:00:00"/>
    <d v="1899-12-30T12:12:00"/>
    <x v="109"/>
    <b v="1"/>
    <s v="orange, black_currant"/>
    <s v="orange"/>
    <s v="black_currant"/>
    <x v="0"/>
    <x v="0"/>
    <x v="1"/>
  </r>
  <r>
    <n v="842"/>
    <x v="0"/>
    <x v="822"/>
    <x v="34"/>
    <n v="31"/>
    <x v="1"/>
    <x v="4"/>
    <s v="Fri, Sat, Sun, Tue, Wed"/>
    <s v="Fri"/>
    <s v="Sat"/>
    <s v="Sun"/>
    <s v="Tue"/>
    <s v="Wed"/>
    <b v="1"/>
    <s v="Pilates, BodyBalance, Spinning"/>
    <s v="Pilates"/>
    <s v="BodyBalance"/>
    <s v="Spinning"/>
    <d v="1899-12-30T09:47:00"/>
    <d v="1899-12-30T11:32:00"/>
    <x v="94"/>
    <b v="0"/>
    <s v=""/>
    <m/>
    <m/>
    <x v="1"/>
    <x v="1"/>
    <x v="0"/>
  </r>
  <r>
    <n v="843"/>
    <x v="0"/>
    <x v="823"/>
    <x v="25"/>
    <n v="29"/>
    <x v="0"/>
    <x v="2"/>
    <s v="Wed"/>
    <s v="Wed"/>
    <m/>
    <m/>
    <m/>
    <m/>
    <b v="1"/>
    <s v="BodyBalance"/>
    <s v="BodyBalance"/>
    <m/>
    <m/>
    <d v="1899-12-30T19:10:00"/>
    <d v="1899-12-30T21:32:00"/>
    <x v="36"/>
    <b v="1"/>
    <s v="black_currant, coconut_pineapple"/>
    <s v="black_currant"/>
    <s v="coconut_pineapple"/>
    <x v="1"/>
    <x v="2"/>
    <x v="1"/>
  </r>
  <r>
    <n v="844"/>
    <x v="1"/>
    <x v="824"/>
    <x v="20"/>
    <n v="43"/>
    <x v="0"/>
    <x v="1"/>
    <s v="Fri, Sat, Thu"/>
    <s v="Fri"/>
    <s v="Sat"/>
    <s v="Thu"/>
    <m/>
    <m/>
    <b v="1"/>
    <s v="Kickboxen, LesMiles, BodyPump"/>
    <s v="Kickboxen"/>
    <s v="LesMiles"/>
    <s v="BodyPump"/>
    <d v="1899-12-30T13:40:00"/>
    <d v="1899-12-30T16:26:00"/>
    <x v="57"/>
    <b v="1"/>
    <s v="passion_fruit, orange"/>
    <s v="passion_fruit"/>
    <s v="orange"/>
    <x v="1"/>
    <x v="2"/>
    <x v="0"/>
  </r>
  <r>
    <n v="845"/>
    <x v="1"/>
    <x v="825"/>
    <x v="25"/>
    <n v="29"/>
    <x v="1"/>
    <x v="3"/>
    <s v="Sun, Wed"/>
    <s v="Sun"/>
    <s v="Wed"/>
    <m/>
    <m/>
    <m/>
    <b v="0"/>
    <s v=""/>
    <m/>
    <m/>
    <m/>
    <d v="1899-12-30T17:09:00"/>
    <d v="1899-12-30T18:06:00"/>
    <x v="50"/>
    <b v="0"/>
    <s v=""/>
    <m/>
    <m/>
    <x v="1"/>
    <x v="4"/>
    <x v="0"/>
  </r>
  <r>
    <n v="846"/>
    <x v="1"/>
    <x v="826"/>
    <x v="28"/>
    <n v="45"/>
    <x v="1"/>
    <x v="3"/>
    <s v="Sat, Tue"/>
    <s v="Sat"/>
    <s v="Tue"/>
    <m/>
    <m/>
    <m/>
    <b v="1"/>
    <s v="HIT"/>
    <s v="HIT"/>
    <m/>
    <m/>
    <d v="1899-12-30T15:59:00"/>
    <d v="1899-12-30T18:46:00"/>
    <x v="17"/>
    <b v="0"/>
    <s v=""/>
    <m/>
    <m/>
    <x v="1"/>
    <x v="4"/>
    <x v="0"/>
  </r>
  <r>
    <n v="847"/>
    <x v="1"/>
    <x v="827"/>
    <x v="25"/>
    <n v="29"/>
    <x v="1"/>
    <x v="2"/>
    <s v="Thu"/>
    <s v="Thu"/>
    <m/>
    <m/>
    <m/>
    <m/>
    <b v="0"/>
    <s v=""/>
    <m/>
    <m/>
    <m/>
    <d v="1899-12-30T20:43:00"/>
    <d v="1899-12-30T21:57:00"/>
    <x v="131"/>
    <b v="0"/>
    <s v=""/>
    <m/>
    <m/>
    <x v="1"/>
    <x v="2"/>
    <x v="0"/>
  </r>
  <r>
    <n v="848"/>
    <x v="1"/>
    <x v="828"/>
    <x v="8"/>
    <n v="24"/>
    <x v="1"/>
    <x v="1"/>
    <s v="Sat, Thu, Wed"/>
    <s v="Sat"/>
    <s v="Thu"/>
    <s v="Wed"/>
    <m/>
    <m/>
    <b v="1"/>
    <s v="Spinning, HIT"/>
    <s v="Spinning"/>
    <s v="HIT"/>
    <m/>
    <d v="1899-12-30T12:00:00"/>
    <d v="1899-12-30T14:08:00"/>
    <x v="119"/>
    <b v="1"/>
    <s v="lemon"/>
    <s v="lemon"/>
    <m/>
    <x v="0"/>
    <x v="0"/>
    <x v="0"/>
  </r>
  <r>
    <n v="849"/>
    <x v="0"/>
    <x v="829"/>
    <x v="33"/>
    <n v="39"/>
    <x v="0"/>
    <x v="1"/>
    <s v="Sat, Tue, Wed"/>
    <s v="Sat"/>
    <s v="Tue"/>
    <s v="Wed"/>
    <m/>
    <m/>
    <b v="1"/>
    <s v="Pilates, Spinning"/>
    <s v="Pilates"/>
    <s v="Spinning"/>
    <m/>
    <d v="1899-12-30T16:37:00"/>
    <d v="1899-12-30T17:45:00"/>
    <x v="48"/>
    <b v="0"/>
    <s v=""/>
    <m/>
    <m/>
    <x v="1"/>
    <x v="3"/>
    <x v="1"/>
  </r>
  <r>
    <n v="850"/>
    <x v="1"/>
    <x v="830"/>
    <x v="32"/>
    <n v="33"/>
    <x v="1"/>
    <x v="3"/>
    <s v="Sat, Thu"/>
    <s v="Sat"/>
    <s v="Thu"/>
    <m/>
    <m/>
    <m/>
    <b v="1"/>
    <s v="LesMiles"/>
    <s v="LesMiles"/>
    <m/>
    <m/>
    <d v="1899-12-30T14:56:00"/>
    <d v="1899-12-30T15:57:00"/>
    <x v="13"/>
    <b v="1"/>
    <s v="black_currant"/>
    <s v="black_currant"/>
    <m/>
    <x v="1"/>
    <x v="2"/>
    <x v="0"/>
  </r>
  <r>
    <n v="851"/>
    <x v="0"/>
    <x v="831"/>
    <x v="31"/>
    <n v="17"/>
    <x v="1"/>
    <x v="3"/>
    <s v="Tue, Wed"/>
    <s v="Tue"/>
    <s v="Wed"/>
    <m/>
    <m/>
    <m/>
    <b v="0"/>
    <s v=""/>
    <m/>
    <m/>
    <m/>
    <d v="1899-12-30T08:06:00"/>
    <d v="1899-12-30T08:47:00"/>
    <x v="110"/>
    <b v="1"/>
    <s v="berry_boost, coconut_pineapple"/>
    <s v="berry_boost"/>
    <s v="coconut_pineapple"/>
    <x v="0"/>
    <x v="0"/>
    <x v="0"/>
  </r>
  <r>
    <n v="852"/>
    <x v="0"/>
    <x v="832"/>
    <x v="10"/>
    <n v="35"/>
    <x v="1"/>
    <x v="0"/>
    <s v="Mon, Thu, Tue, Wed"/>
    <s v="Mon"/>
    <s v="Thu"/>
    <s v="Tue"/>
    <s v="Wed"/>
    <m/>
    <b v="0"/>
    <s v=""/>
    <m/>
    <m/>
    <m/>
    <d v="1899-12-30T15:43:00"/>
    <d v="1899-12-30T18:41:00"/>
    <x v="80"/>
    <b v="0"/>
    <s v=""/>
    <m/>
    <m/>
    <x v="1"/>
    <x v="4"/>
    <x v="0"/>
  </r>
  <r>
    <n v="853"/>
    <x v="1"/>
    <x v="833"/>
    <x v="33"/>
    <n v="39"/>
    <x v="0"/>
    <x v="1"/>
    <s v="Fri, Mon, Sun"/>
    <s v="Fri"/>
    <s v="Mon"/>
    <s v="Sun"/>
    <m/>
    <m/>
    <b v="1"/>
    <s v="HIT"/>
    <s v="HIT"/>
    <m/>
    <m/>
    <d v="1899-12-30T12:16:00"/>
    <d v="1899-12-30T12:49:00"/>
    <x v="11"/>
    <b v="0"/>
    <s v=""/>
    <m/>
    <m/>
    <x v="0"/>
    <x v="0"/>
    <x v="1"/>
  </r>
  <r>
    <n v="854"/>
    <x v="0"/>
    <x v="834"/>
    <x v="38"/>
    <n v="25"/>
    <x v="0"/>
    <x v="3"/>
    <s v="Tue, Wed"/>
    <s v="Tue"/>
    <s v="Wed"/>
    <m/>
    <m/>
    <m/>
    <b v="0"/>
    <s v=""/>
    <m/>
    <m/>
    <m/>
    <d v="1899-12-30T20:20:00"/>
    <d v="1899-12-30T23:10:00"/>
    <x v="52"/>
    <b v="1"/>
    <s v="berry_boost, lemon"/>
    <s v="berry_boost"/>
    <s v="lemon"/>
    <x v="0"/>
    <x v="0"/>
    <x v="1"/>
  </r>
  <r>
    <n v="855"/>
    <x v="1"/>
    <x v="835"/>
    <x v="17"/>
    <n v="14"/>
    <x v="0"/>
    <x v="2"/>
    <s v="Fri"/>
    <s v="Fri"/>
    <m/>
    <m/>
    <m/>
    <m/>
    <b v="0"/>
    <s v=""/>
    <m/>
    <m/>
    <m/>
    <d v="1899-12-30T12:10:00"/>
    <d v="1899-12-30T13:42:00"/>
    <x v="8"/>
    <b v="1"/>
    <s v="berry_boost"/>
    <s v="berry_boost"/>
    <m/>
    <x v="0"/>
    <x v="0"/>
    <x v="0"/>
  </r>
  <r>
    <n v="856"/>
    <x v="0"/>
    <x v="836"/>
    <x v="33"/>
    <n v="40"/>
    <x v="1"/>
    <x v="1"/>
    <s v="Fri, Sun, Thu"/>
    <s v="Fri"/>
    <s v="Sun"/>
    <s v="Thu"/>
    <m/>
    <m/>
    <b v="1"/>
    <s v="HIT, Yoga, BodyPump"/>
    <s v="HIT"/>
    <s v="Yoga"/>
    <s v="BodyPump"/>
    <d v="1899-12-30T17:05:00"/>
    <d v="1899-12-30T19:39:00"/>
    <x v="20"/>
    <b v="0"/>
    <s v=""/>
    <m/>
    <m/>
    <x v="1"/>
    <x v="2"/>
    <x v="1"/>
  </r>
  <r>
    <n v="857"/>
    <x v="0"/>
    <x v="837"/>
    <x v="38"/>
    <n v="25"/>
    <x v="0"/>
    <x v="2"/>
    <s v="Sat"/>
    <s v="Sat"/>
    <m/>
    <m/>
    <m/>
    <m/>
    <b v="0"/>
    <s v=""/>
    <m/>
    <m/>
    <m/>
    <d v="1899-12-30T15:55:00"/>
    <d v="1899-12-30T16:50:00"/>
    <x v="138"/>
    <b v="1"/>
    <s v="passion_fruit, berry_boost"/>
    <s v="passion_fruit"/>
    <s v="berry_boost"/>
    <x v="0"/>
    <x v="0"/>
    <x v="0"/>
  </r>
  <r>
    <n v="858"/>
    <x v="0"/>
    <x v="838"/>
    <x v="12"/>
    <n v="36"/>
    <x v="0"/>
    <x v="3"/>
    <s v="Sat, Sun"/>
    <s v="Sat"/>
    <s v="Sun"/>
    <m/>
    <m/>
    <m/>
    <b v="1"/>
    <s v="HIT, BodyBalance"/>
    <s v="HIT"/>
    <s v="BodyBalance"/>
    <m/>
    <d v="1899-12-30T10:20:00"/>
    <d v="1899-12-30T13:02:00"/>
    <x v="44"/>
    <b v="0"/>
    <s v=""/>
    <m/>
    <m/>
    <x v="1"/>
    <x v="3"/>
    <x v="1"/>
  </r>
  <r>
    <n v="859"/>
    <x v="1"/>
    <x v="650"/>
    <x v="38"/>
    <n v="25"/>
    <x v="0"/>
    <x v="1"/>
    <s v="Fri, Mon, Tue"/>
    <s v="Fri"/>
    <s v="Mon"/>
    <s v="Tue"/>
    <m/>
    <m/>
    <b v="1"/>
    <s v="HIT, LesMiles, BodyBalance"/>
    <s v="HIT"/>
    <s v="LesMiles"/>
    <s v="BodyBalance"/>
    <d v="1899-12-30T14:45:00"/>
    <d v="1899-12-30T15:48:00"/>
    <x v="143"/>
    <b v="0"/>
    <s v=""/>
    <m/>
    <m/>
    <x v="0"/>
    <x v="0"/>
    <x v="0"/>
  </r>
  <r>
    <n v="860"/>
    <x v="0"/>
    <x v="839"/>
    <x v="8"/>
    <n v="24"/>
    <x v="0"/>
    <x v="3"/>
    <s v="Sat, Thu"/>
    <s v="Sat"/>
    <s v="Thu"/>
    <m/>
    <m/>
    <m/>
    <b v="1"/>
    <s v="HIT, XCore, Pilates"/>
    <s v="HIT"/>
    <s v="XCore"/>
    <s v="Pilates"/>
    <d v="1899-12-30T18:33:00"/>
    <d v="1899-12-30T20:28:00"/>
    <x v="103"/>
    <b v="1"/>
    <s v="orange, black_currant"/>
    <s v="orange"/>
    <s v="black_currant"/>
    <x v="0"/>
    <x v="0"/>
    <x v="1"/>
  </r>
  <r>
    <n v="861"/>
    <x v="0"/>
    <x v="234"/>
    <x v="10"/>
    <n v="35"/>
    <x v="0"/>
    <x v="3"/>
    <s v="Fri, Sun"/>
    <s v="Fri"/>
    <s v="Sun"/>
    <m/>
    <m/>
    <m/>
    <b v="1"/>
    <s v="BodyPump, Spinning"/>
    <s v="BodyPump"/>
    <s v="Spinning"/>
    <m/>
    <d v="1899-12-30T14:22:00"/>
    <d v="1899-12-30T15:43:00"/>
    <x v="27"/>
    <b v="1"/>
    <s v="black_currant"/>
    <s v="black_currant"/>
    <m/>
    <x v="0"/>
    <x v="0"/>
    <x v="1"/>
  </r>
  <r>
    <n v="862"/>
    <x v="1"/>
    <x v="840"/>
    <x v="34"/>
    <n v="31"/>
    <x v="1"/>
    <x v="0"/>
    <s v="Fri, Mon, Sat, Sun"/>
    <s v="Fri"/>
    <s v="Mon"/>
    <s v="Sat"/>
    <s v="Sun"/>
    <m/>
    <b v="1"/>
    <s v="LesMiles, Kickboxen"/>
    <s v="LesMiles"/>
    <s v="Kickboxen"/>
    <m/>
    <d v="1899-12-30T17:19:00"/>
    <d v="1899-12-30T19:40:00"/>
    <x v="113"/>
    <b v="1"/>
    <s v="passion_fruit, coconut_pineapple"/>
    <s v="passion_fruit"/>
    <s v="coconut_pineapple"/>
    <x v="1"/>
    <x v="2"/>
    <x v="1"/>
  </r>
  <r>
    <n v="863"/>
    <x v="1"/>
    <x v="841"/>
    <x v="34"/>
    <n v="32"/>
    <x v="0"/>
    <x v="4"/>
    <s v="Sat, Sun, Thu, Tue, Wed"/>
    <s v="Sat"/>
    <s v="Sun"/>
    <s v="Thu"/>
    <s v="Tue"/>
    <s v="Wed"/>
    <b v="0"/>
    <s v=""/>
    <m/>
    <m/>
    <m/>
    <d v="1899-12-30T11:08:00"/>
    <d v="1899-12-30T13:20:00"/>
    <x v="121"/>
    <b v="1"/>
    <s v="berry_boost, orange"/>
    <s v="berry_boost"/>
    <s v="orange"/>
    <x v="0"/>
    <x v="0"/>
    <x v="0"/>
  </r>
  <r>
    <n v="864"/>
    <x v="1"/>
    <x v="842"/>
    <x v="21"/>
    <n v="48"/>
    <x v="0"/>
    <x v="1"/>
    <s v="Fri, Sat, Sun"/>
    <s v="Fri"/>
    <s v="Sat"/>
    <s v="Sun"/>
    <m/>
    <m/>
    <b v="1"/>
    <s v="BodyBalance, LesMiles"/>
    <s v="BodyBalance"/>
    <s v="LesMiles"/>
    <m/>
    <d v="1899-12-30T16:01:00"/>
    <d v="1899-12-30T18:16:00"/>
    <x v="33"/>
    <b v="0"/>
    <s v=""/>
    <m/>
    <m/>
    <x v="1"/>
    <x v="4"/>
    <x v="0"/>
  </r>
  <r>
    <n v="865"/>
    <x v="1"/>
    <x v="843"/>
    <x v="28"/>
    <n v="45"/>
    <x v="1"/>
    <x v="0"/>
    <s v="Sat, Sun, Thu, Tue"/>
    <s v="Sat"/>
    <s v="Sun"/>
    <s v="Thu"/>
    <s v="Tue"/>
    <m/>
    <b v="0"/>
    <s v=""/>
    <m/>
    <m/>
    <m/>
    <d v="1899-12-30T11:19:00"/>
    <d v="1899-12-30T12:16:00"/>
    <x v="50"/>
    <b v="0"/>
    <s v=""/>
    <m/>
    <m/>
    <x v="1"/>
    <x v="4"/>
    <x v="0"/>
  </r>
  <r>
    <n v="866"/>
    <x v="0"/>
    <x v="844"/>
    <x v="29"/>
    <n v="22"/>
    <x v="0"/>
    <x v="1"/>
    <s v="Fri, Thu, Wed"/>
    <s v="Fri"/>
    <s v="Thu"/>
    <s v="Wed"/>
    <m/>
    <m/>
    <b v="1"/>
    <s v="Zumba"/>
    <s v="Zumba"/>
    <m/>
    <m/>
    <d v="1899-12-30T11:46:00"/>
    <d v="1899-12-30T13:47:00"/>
    <x v="134"/>
    <b v="0"/>
    <s v=""/>
    <m/>
    <m/>
    <x v="1"/>
    <x v="1"/>
    <x v="0"/>
  </r>
  <r>
    <n v="867"/>
    <x v="0"/>
    <x v="845"/>
    <x v="33"/>
    <n v="39"/>
    <x v="1"/>
    <x v="4"/>
    <s v="Sat, Sun, Thu, Tue, Wed"/>
    <s v="Sat"/>
    <s v="Sun"/>
    <s v="Thu"/>
    <s v="Tue"/>
    <s v="Wed"/>
    <b v="1"/>
    <s v="LesMiles, BodyBalance"/>
    <s v="LesMiles"/>
    <s v="BodyBalance"/>
    <m/>
    <d v="1899-12-30T16:05:00"/>
    <d v="1899-12-30T18:42:00"/>
    <x v="147"/>
    <b v="0"/>
    <s v=""/>
    <m/>
    <m/>
    <x v="1"/>
    <x v="2"/>
    <x v="1"/>
  </r>
  <r>
    <n v="868"/>
    <x v="0"/>
    <x v="846"/>
    <x v="28"/>
    <n v="45"/>
    <x v="1"/>
    <x v="3"/>
    <s v="Fri, Wed"/>
    <s v="Fri"/>
    <s v="Wed"/>
    <m/>
    <m/>
    <m/>
    <b v="1"/>
    <s v="BodyBalance, Zumba"/>
    <s v="BodyBalance"/>
    <s v="Zumba"/>
    <m/>
    <d v="1899-12-30T18:26:00"/>
    <d v="1899-12-30T21:21:00"/>
    <x v="37"/>
    <b v="1"/>
    <s v="orange, passion_fruit"/>
    <s v="orange"/>
    <s v="passion_fruit"/>
    <x v="1"/>
    <x v="2"/>
    <x v="1"/>
  </r>
  <r>
    <n v="869"/>
    <x v="0"/>
    <x v="847"/>
    <x v="31"/>
    <n v="17"/>
    <x v="1"/>
    <x v="3"/>
    <s v="Tue, Wed"/>
    <s v="Tue"/>
    <s v="Wed"/>
    <m/>
    <m/>
    <m/>
    <b v="1"/>
    <s v="LesMiles"/>
    <s v="LesMiles"/>
    <m/>
    <m/>
    <d v="1899-12-30T12:09:00"/>
    <d v="1899-12-30T14:55:00"/>
    <x v="57"/>
    <b v="1"/>
    <s v="orange, berry_boost"/>
    <s v="orange"/>
    <s v="berry_boost"/>
    <x v="1"/>
    <x v="2"/>
    <x v="0"/>
  </r>
  <r>
    <n v="870"/>
    <x v="1"/>
    <x v="848"/>
    <x v="11"/>
    <n v="35"/>
    <x v="1"/>
    <x v="3"/>
    <s v="Sat, Sun"/>
    <s v="Sat"/>
    <s v="Sun"/>
    <m/>
    <m/>
    <m/>
    <b v="1"/>
    <s v="HIT"/>
    <s v="HIT"/>
    <m/>
    <m/>
    <d v="1899-12-30T12:59:00"/>
    <d v="1899-12-30T14:42:00"/>
    <x v="60"/>
    <b v="0"/>
    <s v=""/>
    <m/>
    <m/>
    <x v="0"/>
    <x v="0"/>
    <x v="1"/>
  </r>
  <r>
    <n v="871"/>
    <x v="0"/>
    <x v="849"/>
    <x v="32"/>
    <n v="33"/>
    <x v="0"/>
    <x v="4"/>
    <s v="Fri, Sat, Sun, Thu, Tue"/>
    <s v="Fri"/>
    <s v="Sat"/>
    <s v="Sun"/>
    <s v="Thu"/>
    <s v="Tue"/>
    <b v="1"/>
    <s v="XCore, Running, LesMiles"/>
    <s v="XCore"/>
    <s v="Running"/>
    <s v="LesMiles"/>
    <d v="1899-12-30T12:21:00"/>
    <d v="1899-12-30T14:23:00"/>
    <x v="47"/>
    <b v="1"/>
    <s v="berry_boost, coconut_pineapple"/>
    <s v="berry_boost"/>
    <s v="coconut_pineapple"/>
    <x v="0"/>
    <x v="0"/>
    <x v="0"/>
  </r>
  <r>
    <n v="872"/>
    <x v="1"/>
    <x v="850"/>
    <x v="17"/>
    <n v="14"/>
    <x v="1"/>
    <x v="3"/>
    <s v="Mon, Wed"/>
    <s v="Mon"/>
    <s v="Wed"/>
    <m/>
    <m/>
    <m/>
    <b v="0"/>
    <s v=""/>
    <m/>
    <m/>
    <m/>
    <d v="1899-12-30T09:46:00"/>
    <d v="1899-12-30T10:56:00"/>
    <x v="96"/>
    <b v="0"/>
    <s v=""/>
    <m/>
    <m/>
    <x v="0"/>
    <x v="0"/>
    <x v="0"/>
  </r>
  <r>
    <n v="873"/>
    <x v="1"/>
    <x v="851"/>
    <x v="22"/>
    <n v="40"/>
    <x v="1"/>
    <x v="2"/>
    <s v="Thu"/>
    <s v="Thu"/>
    <m/>
    <m/>
    <m/>
    <m/>
    <b v="0"/>
    <s v=""/>
    <m/>
    <m/>
    <m/>
    <d v="1899-12-30T20:27:00"/>
    <d v="1899-12-30T21:57:00"/>
    <x v="140"/>
    <b v="1"/>
    <s v="berry_boost, lemon"/>
    <s v="berry_boost"/>
    <s v="lemon"/>
    <x v="0"/>
    <x v="0"/>
    <x v="1"/>
  </r>
  <r>
    <n v="874"/>
    <x v="0"/>
    <x v="852"/>
    <x v="30"/>
    <n v="23"/>
    <x v="0"/>
    <x v="3"/>
    <s v="Thu, Tue"/>
    <s v="Thu"/>
    <s v="Tue"/>
    <m/>
    <m/>
    <m/>
    <b v="1"/>
    <s v="BodyBalance, Spinning"/>
    <s v="BodyBalance"/>
    <s v="Spinning"/>
    <m/>
    <d v="1899-12-30T14:42:00"/>
    <d v="1899-12-30T16:56:00"/>
    <x v="145"/>
    <b v="1"/>
    <s v="passion_fruit, orange"/>
    <s v="passion_fruit"/>
    <s v="orange"/>
    <x v="1"/>
    <x v="3"/>
    <x v="1"/>
  </r>
  <r>
    <n v="875"/>
    <x v="1"/>
    <x v="853"/>
    <x v="17"/>
    <n v="14"/>
    <x v="0"/>
    <x v="3"/>
    <s v="Fri, Tue"/>
    <s v="Fri"/>
    <s v="Tue"/>
    <m/>
    <m/>
    <m/>
    <b v="1"/>
    <s v="BodyPump, Zumba, Running"/>
    <s v="BodyPump"/>
    <s v="Zumba"/>
    <s v="Running"/>
    <d v="1899-12-30T13:45:00"/>
    <d v="1899-12-30T16:26:00"/>
    <x v="15"/>
    <b v="0"/>
    <s v=""/>
    <m/>
    <m/>
    <x v="0"/>
    <x v="0"/>
    <x v="1"/>
  </r>
  <r>
    <n v="876"/>
    <x v="0"/>
    <x v="854"/>
    <x v="35"/>
    <n v="12"/>
    <x v="1"/>
    <x v="4"/>
    <s v="Mon, Sun, Thu, Tue, Wed"/>
    <s v="Mon"/>
    <s v="Sun"/>
    <s v="Thu"/>
    <s v="Tue"/>
    <s v="Wed"/>
    <b v="1"/>
    <s v="Running"/>
    <s v="Running"/>
    <m/>
    <m/>
    <d v="1899-12-30T18:32:00"/>
    <d v="1899-12-30T19:28:00"/>
    <x v="81"/>
    <b v="1"/>
    <s v="passion_fruit"/>
    <s v="passion_fruit"/>
    <m/>
    <x v="0"/>
    <x v="0"/>
    <x v="0"/>
  </r>
  <r>
    <n v="877"/>
    <x v="1"/>
    <x v="855"/>
    <x v="5"/>
    <n v="15"/>
    <x v="1"/>
    <x v="3"/>
    <s v="Fri, Sun"/>
    <s v="Fri"/>
    <s v="Sun"/>
    <m/>
    <m/>
    <m/>
    <b v="0"/>
    <s v=""/>
    <m/>
    <m/>
    <m/>
    <d v="1899-12-30T09:12:00"/>
    <d v="1899-12-30T11:42:00"/>
    <x v="98"/>
    <b v="0"/>
    <s v=""/>
    <m/>
    <m/>
    <x v="1"/>
    <x v="4"/>
    <x v="1"/>
  </r>
  <r>
    <n v="878"/>
    <x v="0"/>
    <x v="75"/>
    <x v="7"/>
    <n v="20"/>
    <x v="0"/>
    <x v="1"/>
    <s v="Sun, Tue, Wed"/>
    <s v="Sun"/>
    <s v="Tue"/>
    <s v="Wed"/>
    <m/>
    <m/>
    <b v="0"/>
    <s v=""/>
    <m/>
    <m/>
    <m/>
    <d v="1899-12-30T14:04:00"/>
    <d v="1899-12-30T16:42:00"/>
    <x v="12"/>
    <b v="0"/>
    <s v=""/>
    <m/>
    <m/>
    <x v="0"/>
    <x v="0"/>
    <x v="1"/>
  </r>
  <r>
    <n v="879"/>
    <x v="0"/>
    <x v="856"/>
    <x v="19"/>
    <n v="21"/>
    <x v="0"/>
    <x v="1"/>
    <s v="Mon, Sun, Thu"/>
    <s v="Mon"/>
    <s v="Sun"/>
    <s v="Thu"/>
    <m/>
    <m/>
    <b v="0"/>
    <s v=""/>
    <m/>
    <m/>
    <m/>
    <d v="1899-12-30T10:39:00"/>
    <d v="1899-12-30T12:37:00"/>
    <x v="24"/>
    <b v="1"/>
    <s v="orange"/>
    <s v="orange"/>
    <m/>
    <x v="1"/>
    <x v="1"/>
    <x v="1"/>
  </r>
  <r>
    <n v="880"/>
    <x v="0"/>
    <x v="857"/>
    <x v="25"/>
    <n v="29"/>
    <x v="0"/>
    <x v="3"/>
    <s v="Fri, Sun"/>
    <s v="Fri"/>
    <s v="Sun"/>
    <m/>
    <m/>
    <m/>
    <b v="0"/>
    <s v=""/>
    <m/>
    <m/>
    <m/>
    <d v="1899-12-30T11:02:00"/>
    <d v="1899-12-30T12:22:00"/>
    <x v="137"/>
    <b v="1"/>
    <s v="orange, coconut_pineapple"/>
    <s v="orange"/>
    <s v="coconut_pineapple"/>
    <x v="1"/>
    <x v="1"/>
    <x v="0"/>
  </r>
  <r>
    <n v="881"/>
    <x v="1"/>
    <x v="858"/>
    <x v="30"/>
    <n v="24"/>
    <x v="1"/>
    <x v="1"/>
    <s v="Sat, Sun, Tue"/>
    <s v="Sat"/>
    <s v="Sun"/>
    <s v="Tue"/>
    <m/>
    <m/>
    <b v="0"/>
    <s v=""/>
    <m/>
    <m/>
    <m/>
    <d v="1899-12-30T10:46:00"/>
    <d v="1899-12-30T12:59:00"/>
    <x v="108"/>
    <b v="0"/>
    <s v=""/>
    <m/>
    <m/>
    <x v="1"/>
    <x v="3"/>
    <x v="0"/>
  </r>
  <r>
    <n v="882"/>
    <x v="0"/>
    <x v="859"/>
    <x v="25"/>
    <n v="29"/>
    <x v="1"/>
    <x v="3"/>
    <s v="Fri, Sat"/>
    <s v="Fri"/>
    <s v="Sat"/>
    <m/>
    <m/>
    <m/>
    <b v="0"/>
    <s v=""/>
    <m/>
    <m/>
    <m/>
    <d v="1899-12-30T15:39:00"/>
    <d v="1899-12-30T17:59:00"/>
    <x v="74"/>
    <b v="0"/>
    <s v=""/>
    <m/>
    <m/>
    <x v="1"/>
    <x v="4"/>
    <x v="0"/>
  </r>
  <r>
    <n v="883"/>
    <x v="0"/>
    <x v="860"/>
    <x v="14"/>
    <n v="14"/>
    <x v="0"/>
    <x v="1"/>
    <s v="Fri, Mon, Tue"/>
    <s v="Fri"/>
    <s v="Mon"/>
    <s v="Tue"/>
    <m/>
    <m/>
    <b v="1"/>
    <s v="Spinning"/>
    <s v="Spinning"/>
    <m/>
    <m/>
    <d v="1899-12-30T15:31:00"/>
    <d v="1899-12-30T18:22:00"/>
    <x v="132"/>
    <b v="0"/>
    <s v=""/>
    <m/>
    <m/>
    <x v="0"/>
    <x v="0"/>
    <x v="0"/>
  </r>
  <r>
    <n v="884"/>
    <x v="1"/>
    <x v="861"/>
    <x v="36"/>
    <n v="49"/>
    <x v="1"/>
    <x v="2"/>
    <s v="Tue"/>
    <s v="Tue"/>
    <m/>
    <m/>
    <m/>
    <m/>
    <b v="1"/>
    <s v="HIT, BodyPump, XCore"/>
    <s v="HIT"/>
    <s v="BodyPump"/>
    <s v="XCore"/>
    <d v="1899-12-30T16:18:00"/>
    <d v="1899-12-30T17:35:00"/>
    <x v="71"/>
    <b v="1"/>
    <s v="orange"/>
    <s v="orange"/>
    <m/>
    <x v="0"/>
    <x v="0"/>
    <x v="1"/>
  </r>
  <r>
    <n v="885"/>
    <x v="0"/>
    <x v="862"/>
    <x v="13"/>
    <n v="37"/>
    <x v="1"/>
    <x v="1"/>
    <s v="Sun, Thu, Tue"/>
    <s v="Sun"/>
    <s v="Thu"/>
    <s v="Tue"/>
    <m/>
    <m/>
    <b v="0"/>
    <s v=""/>
    <m/>
    <m/>
    <m/>
    <d v="1899-12-30T14:33:00"/>
    <d v="1899-12-30T15:10:00"/>
    <x v="91"/>
    <b v="0"/>
    <s v=""/>
    <m/>
    <m/>
    <x v="0"/>
    <x v="0"/>
    <x v="1"/>
  </r>
  <r>
    <n v="886"/>
    <x v="0"/>
    <x v="863"/>
    <x v="18"/>
    <n v="19"/>
    <x v="1"/>
    <x v="0"/>
    <s v="Sat, Thu, Tue, Wed"/>
    <s v="Sat"/>
    <s v="Thu"/>
    <s v="Tue"/>
    <s v="Wed"/>
    <m/>
    <b v="1"/>
    <s v="HIT"/>
    <s v="HIT"/>
    <m/>
    <m/>
    <d v="1899-12-30T15:47:00"/>
    <d v="1899-12-30T18:01:00"/>
    <x v="145"/>
    <b v="0"/>
    <s v=""/>
    <m/>
    <m/>
    <x v="0"/>
    <x v="0"/>
    <x v="1"/>
  </r>
  <r>
    <n v="887"/>
    <x v="1"/>
    <x v="864"/>
    <x v="30"/>
    <n v="23"/>
    <x v="0"/>
    <x v="3"/>
    <s v="Fri, Tue"/>
    <s v="Fri"/>
    <s v="Tue"/>
    <m/>
    <m/>
    <m/>
    <b v="0"/>
    <s v=""/>
    <m/>
    <m/>
    <m/>
    <d v="1899-12-30T19:04:00"/>
    <d v="1899-12-30T19:56:00"/>
    <x v="59"/>
    <b v="1"/>
    <s v="orange, berry_boost"/>
    <s v="orange"/>
    <s v="berry_boost"/>
    <x v="0"/>
    <x v="0"/>
    <x v="0"/>
  </r>
  <r>
    <n v="888"/>
    <x v="0"/>
    <x v="865"/>
    <x v="11"/>
    <n v="34"/>
    <x v="0"/>
    <x v="3"/>
    <s v="Fri, Tue"/>
    <s v="Fri"/>
    <s v="Tue"/>
    <m/>
    <m/>
    <m/>
    <b v="0"/>
    <s v=""/>
    <m/>
    <m/>
    <m/>
    <d v="1899-12-30T17:02:00"/>
    <d v="1899-12-30T18:36:00"/>
    <x v="68"/>
    <b v="1"/>
    <s v="passion_fruit"/>
    <s v="passion_fruit"/>
    <m/>
    <x v="1"/>
    <x v="2"/>
    <x v="0"/>
  </r>
  <r>
    <n v="889"/>
    <x v="1"/>
    <x v="866"/>
    <x v="23"/>
    <n v="18"/>
    <x v="0"/>
    <x v="1"/>
    <s v="Fri, Mon, Thu"/>
    <s v="Fri"/>
    <s v="Mon"/>
    <s v="Thu"/>
    <m/>
    <m/>
    <b v="1"/>
    <s v="Spinning, Running, BodyBalance"/>
    <s v="Spinning"/>
    <s v="Running"/>
    <s v="BodyBalance"/>
    <d v="1899-12-30T11:41:00"/>
    <d v="1899-12-30T13:08:00"/>
    <x v="38"/>
    <b v="0"/>
    <s v=""/>
    <m/>
    <m/>
    <x v="0"/>
    <x v="0"/>
    <x v="1"/>
  </r>
  <r>
    <n v="890"/>
    <x v="1"/>
    <x v="867"/>
    <x v="0"/>
    <n v="27"/>
    <x v="0"/>
    <x v="1"/>
    <s v="Sat, Thu, Wed"/>
    <s v="Sat"/>
    <s v="Thu"/>
    <s v="Wed"/>
    <m/>
    <m/>
    <b v="0"/>
    <s v=""/>
    <m/>
    <m/>
    <m/>
    <d v="1899-12-30T20:18:00"/>
    <d v="1899-12-30T22:20:00"/>
    <x v="47"/>
    <b v="1"/>
    <s v="passion_fruit"/>
    <s v="passion_fruit"/>
    <m/>
    <x v="1"/>
    <x v="4"/>
    <x v="1"/>
  </r>
  <r>
    <n v="891"/>
    <x v="1"/>
    <x v="868"/>
    <x v="1"/>
    <n v="47"/>
    <x v="0"/>
    <x v="4"/>
    <s v="Sat, Sun, Thu, Tue, Wed"/>
    <s v="Sat"/>
    <s v="Sun"/>
    <s v="Thu"/>
    <s v="Tue"/>
    <s v="Wed"/>
    <b v="0"/>
    <s v=""/>
    <m/>
    <m/>
    <m/>
    <d v="1899-12-30T11:26:00"/>
    <d v="1899-12-30T12:55:00"/>
    <x v="118"/>
    <b v="0"/>
    <s v=""/>
    <m/>
    <m/>
    <x v="0"/>
    <x v="0"/>
    <x v="0"/>
  </r>
  <r>
    <n v="892"/>
    <x v="1"/>
    <x v="869"/>
    <x v="6"/>
    <n v="30"/>
    <x v="1"/>
    <x v="3"/>
    <s v="Sun, Wed"/>
    <s v="Sun"/>
    <s v="Wed"/>
    <m/>
    <m/>
    <m/>
    <b v="0"/>
    <s v=""/>
    <m/>
    <m/>
    <m/>
    <d v="1899-12-30T12:22:00"/>
    <d v="1899-12-30T15:01:00"/>
    <x v="31"/>
    <b v="0"/>
    <s v=""/>
    <m/>
    <m/>
    <x v="1"/>
    <x v="2"/>
    <x v="0"/>
  </r>
  <r>
    <n v="893"/>
    <x v="1"/>
    <x v="870"/>
    <x v="33"/>
    <n v="40"/>
    <x v="0"/>
    <x v="3"/>
    <s v="Sat, Tue"/>
    <s v="Sat"/>
    <s v="Tue"/>
    <m/>
    <m/>
    <m/>
    <b v="1"/>
    <s v="Pilates, HIT, Running"/>
    <s v="Pilates"/>
    <s v="HIT"/>
    <s v="Running"/>
    <d v="1899-12-30T20:33:00"/>
    <d v="1899-12-30T21:52:00"/>
    <x v="32"/>
    <b v="1"/>
    <s v="berry_boost, orange"/>
    <s v="berry_boost"/>
    <s v="orange"/>
    <x v="1"/>
    <x v="3"/>
    <x v="0"/>
  </r>
  <r>
    <n v="894"/>
    <x v="0"/>
    <x v="871"/>
    <x v="7"/>
    <n v="20"/>
    <x v="1"/>
    <x v="2"/>
    <s v="Tue"/>
    <s v="Tue"/>
    <m/>
    <m/>
    <m/>
    <m/>
    <b v="1"/>
    <s v="XCore, HIT, Zumba"/>
    <s v="XCore"/>
    <s v="HIT"/>
    <s v="Zumba"/>
    <d v="1899-12-30T15:06:00"/>
    <d v="1899-12-30T16:40:00"/>
    <x v="68"/>
    <b v="0"/>
    <s v=""/>
    <m/>
    <m/>
    <x v="0"/>
    <x v="0"/>
    <x v="1"/>
  </r>
  <r>
    <n v="895"/>
    <x v="1"/>
    <x v="872"/>
    <x v="12"/>
    <n v="36"/>
    <x v="0"/>
    <x v="1"/>
    <s v="Mon, Sat, Tue"/>
    <s v="Mon"/>
    <s v="Sat"/>
    <s v="Tue"/>
    <m/>
    <m/>
    <b v="0"/>
    <s v=""/>
    <m/>
    <m/>
    <m/>
    <d v="1899-12-30T16:53:00"/>
    <d v="1899-12-30T18:09:00"/>
    <x v="128"/>
    <b v="0"/>
    <s v=""/>
    <m/>
    <m/>
    <x v="1"/>
    <x v="4"/>
    <x v="1"/>
  </r>
  <r>
    <n v="896"/>
    <x v="0"/>
    <x v="605"/>
    <x v="28"/>
    <n v="45"/>
    <x v="0"/>
    <x v="0"/>
    <s v="Fri, Sun, Thu, Tue"/>
    <s v="Fri"/>
    <s v="Sun"/>
    <s v="Thu"/>
    <s v="Tue"/>
    <m/>
    <b v="0"/>
    <s v=""/>
    <m/>
    <m/>
    <m/>
    <d v="1899-12-30T10:05:00"/>
    <d v="1899-12-30T10:55:00"/>
    <x v="4"/>
    <b v="1"/>
    <s v="coconut_pineapple, passion_fruit"/>
    <s v="coconut_pineapple"/>
    <s v="passion_fruit"/>
    <x v="1"/>
    <x v="4"/>
    <x v="0"/>
  </r>
  <r>
    <n v="897"/>
    <x v="0"/>
    <x v="873"/>
    <x v="12"/>
    <n v="36"/>
    <x v="0"/>
    <x v="1"/>
    <s v="Sat, Sun, Tue"/>
    <s v="Sat"/>
    <s v="Sun"/>
    <s v="Tue"/>
    <m/>
    <m/>
    <b v="1"/>
    <s v="Pilates, HIT, Zumba"/>
    <s v="Pilates"/>
    <s v="HIT"/>
    <s v="Zumba"/>
    <d v="1899-12-30T09:39:00"/>
    <d v="1899-12-30T11:08:00"/>
    <x v="118"/>
    <b v="0"/>
    <s v=""/>
    <m/>
    <m/>
    <x v="0"/>
    <x v="0"/>
    <x v="0"/>
  </r>
  <r>
    <n v="898"/>
    <x v="0"/>
    <x v="874"/>
    <x v="12"/>
    <n v="36"/>
    <x v="0"/>
    <x v="2"/>
    <s v="Fri"/>
    <s v="Fri"/>
    <m/>
    <m/>
    <m/>
    <m/>
    <b v="0"/>
    <s v=""/>
    <m/>
    <m/>
    <m/>
    <d v="1899-12-30T11:05:00"/>
    <d v="1899-12-30T12:28:00"/>
    <x v="88"/>
    <b v="1"/>
    <s v="orange, black_currant"/>
    <s v="orange"/>
    <s v="black_currant"/>
    <x v="0"/>
    <x v="0"/>
    <x v="0"/>
  </r>
  <r>
    <n v="899"/>
    <x v="1"/>
    <x v="875"/>
    <x v="24"/>
    <n v="16"/>
    <x v="1"/>
    <x v="2"/>
    <s v="Mon"/>
    <s v="Mon"/>
    <m/>
    <m/>
    <m/>
    <m/>
    <b v="1"/>
    <s v="XCore, Yoga"/>
    <s v="XCore"/>
    <s v="Yoga"/>
    <m/>
    <d v="1899-12-30T12:59:00"/>
    <d v="1899-12-30T14:06:00"/>
    <x v="82"/>
    <b v="0"/>
    <s v=""/>
    <m/>
    <m/>
    <x v="0"/>
    <x v="0"/>
    <x v="0"/>
  </r>
  <r>
    <n v="900"/>
    <x v="0"/>
    <x v="876"/>
    <x v="8"/>
    <n v="24"/>
    <x v="1"/>
    <x v="1"/>
    <s v="Fri, Sat, Wed"/>
    <s v="Fri"/>
    <s v="Sat"/>
    <s v="Wed"/>
    <m/>
    <m/>
    <b v="0"/>
    <s v=""/>
    <m/>
    <m/>
    <m/>
    <d v="1899-12-30T19:13:00"/>
    <d v="1899-12-30T20:02:00"/>
    <x v="64"/>
    <b v="0"/>
    <s v=""/>
    <m/>
    <m/>
    <x v="1"/>
    <x v="2"/>
    <x v="0"/>
  </r>
  <r>
    <n v="901"/>
    <x v="0"/>
    <x v="877"/>
    <x v="12"/>
    <n v="36"/>
    <x v="0"/>
    <x v="2"/>
    <s v="Wed"/>
    <s v="Wed"/>
    <m/>
    <m/>
    <m/>
    <m/>
    <b v="0"/>
    <s v=""/>
    <m/>
    <m/>
    <m/>
    <d v="1899-12-30T17:30:00"/>
    <d v="1899-12-30T18:40:00"/>
    <x v="96"/>
    <b v="1"/>
    <s v="coconut_pineapple"/>
    <s v="coconut_pineapple"/>
    <m/>
    <x v="0"/>
    <x v="0"/>
    <x v="1"/>
  </r>
  <r>
    <n v="902"/>
    <x v="0"/>
    <x v="878"/>
    <x v="22"/>
    <n v="40"/>
    <x v="1"/>
    <x v="2"/>
    <s v="Sun"/>
    <s v="Sun"/>
    <m/>
    <m/>
    <m/>
    <m/>
    <b v="1"/>
    <s v="BodyPump, Spinning"/>
    <s v="BodyPump"/>
    <s v="Spinning"/>
    <m/>
    <d v="1899-12-30T16:03:00"/>
    <d v="1899-12-30T17:49:00"/>
    <x v="67"/>
    <b v="0"/>
    <s v=""/>
    <m/>
    <m/>
    <x v="0"/>
    <x v="0"/>
    <x v="0"/>
  </r>
  <r>
    <n v="903"/>
    <x v="0"/>
    <x v="879"/>
    <x v="22"/>
    <n v="40"/>
    <x v="0"/>
    <x v="3"/>
    <s v="Fri, Thu"/>
    <s v="Fri"/>
    <s v="Thu"/>
    <m/>
    <m/>
    <m/>
    <b v="1"/>
    <s v="XCore"/>
    <s v="XCore"/>
    <m/>
    <m/>
    <d v="1899-12-30T19:07:00"/>
    <d v="1899-12-30T21:24:00"/>
    <x v="40"/>
    <b v="0"/>
    <s v=""/>
    <m/>
    <m/>
    <x v="1"/>
    <x v="3"/>
    <x v="1"/>
  </r>
  <r>
    <n v="904"/>
    <x v="0"/>
    <x v="880"/>
    <x v="17"/>
    <n v="14"/>
    <x v="0"/>
    <x v="3"/>
    <s v="Sat, Sun"/>
    <s v="Sat"/>
    <s v="Sun"/>
    <m/>
    <m/>
    <m/>
    <b v="0"/>
    <s v=""/>
    <m/>
    <m/>
    <m/>
    <d v="1899-12-30T10:09:00"/>
    <d v="1899-12-30T11:15:00"/>
    <x v="66"/>
    <b v="0"/>
    <s v=""/>
    <m/>
    <m/>
    <x v="1"/>
    <x v="1"/>
    <x v="0"/>
  </r>
  <r>
    <n v="905"/>
    <x v="0"/>
    <x v="881"/>
    <x v="32"/>
    <n v="33"/>
    <x v="0"/>
    <x v="2"/>
    <s v="Wed"/>
    <s v="Wed"/>
    <m/>
    <m/>
    <m/>
    <m/>
    <b v="0"/>
    <s v=""/>
    <m/>
    <m/>
    <m/>
    <d v="1899-12-30T14:09:00"/>
    <d v="1899-12-30T16:46:00"/>
    <x v="147"/>
    <b v="0"/>
    <s v=""/>
    <m/>
    <m/>
    <x v="0"/>
    <x v="0"/>
    <x v="1"/>
  </r>
  <r>
    <n v="906"/>
    <x v="1"/>
    <x v="882"/>
    <x v="20"/>
    <n v="43"/>
    <x v="1"/>
    <x v="2"/>
    <s v="Sun"/>
    <s v="Sun"/>
    <m/>
    <m/>
    <m/>
    <m/>
    <b v="0"/>
    <s v=""/>
    <m/>
    <m/>
    <m/>
    <d v="1899-12-30T09:22:00"/>
    <d v="1899-12-30T10:15:00"/>
    <x v="69"/>
    <b v="0"/>
    <s v=""/>
    <m/>
    <m/>
    <x v="1"/>
    <x v="2"/>
    <x v="1"/>
  </r>
  <r>
    <n v="907"/>
    <x v="1"/>
    <x v="883"/>
    <x v="27"/>
    <n v="48"/>
    <x v="1"/>
    <x v="3"/>
    <s v="Thu, Wed"/>
    <s v="Thu"/>
    <s v="Wed"/>
    <m/>
    <m/>
    <m/>
    <b v="1"/>
    <s v="Zumba, HIT, XCore"/>
    <s v="Zumba"/>
    <s v="HIT"/>
    <s v="XCore"/>
    <d v="1899-12-30T15:12:00"/>
    <d v="1899-12-30T17:17:00"/>
    <x v="62"/>
    <b v="1"/>
    <s v="berry_boost, black_currant"/>
    <s v="berry_boost"/>
    <s v="black_currant"/>
    <x v="0"/>
    <x v="0"/>
    <x v="1"/>
  </r>
  <r>
    <n v="908"/>
    <x v="0"/>
    <x v="884"/>
    <x v="35"/>
    <n v="12"/>
    <x v="1"/>
    <x v="4"/>
    <s v="Fri, Mon, Sun, Thu, Wed"/>
    <s v="Fri"/>
    <s v="Mon"/>
    <s v="Sun"/>
    <s v="Thu"/>
    <s v="Wed"/>
    <b v="0"/>
    <s v=""/>
    <m/>
    <m/>
    <m/>
    <d v="1899-12-30T10:25:00"/>
    <d v="1899-12-30T12:18:00"/>
    <x v="135"/>
    <b v="0"/>
    <s v=""/>
    <m/>
    <m/>
    <x v="0"/>
    <x v="0"/>
    <x v="0"/>
  </r>
  <r>
    <n v="909"/>
    <x v="1"/>
    <x v="885"/>
    <x v="33"/>
    <n v="39"/>
    <x v="0"/>
    <x v="0"/>
    <s v="Sun, Thu, Tue, Wed"/>
    <s v="Sun"/>
    <s v="Thu"/>
    <s v="Tue"/>
    <s v="Wed"/>
    <m/>
    <b v="1"/>
    <s v="BodyBalance, LesMiles"/>
    <s v="BodyBalance"/>
    <s v="LesMiles"/>
    <m/>
    <d v="1899-12-30T13:35:00"/>
    <d v="1899-12-30T14:37:00"/>
    <x v="6"/>
    <b v="1"/>
    <s v="lemon, coconut_pineapple"/>
    <s v="lemon"/>
    <s v="coconut_pineapple"/>
    <x v="1"/>
    <x v="1"/>
    <x v="0"/>
  </r>
  <r>
    <n v="910"/>
    <x v="1"/>
    <x v="886"/>
    <x v="25"/>
    <n v="30"/>
    <x v="0"/>
    <x v="1"/>
    <s v="Sat, Sun, Wed"/>
    <s v="Sat"/>
    <s v="Sun"/>
    <s v="Wed"/>
    <m/>
    <m/>
    <b v="1"/>
    <s v="Pilates"/>
    <s v="Pilates"/>
    <m/>
    <m/>
    <d v="1899-12-30T11:09:00"/>
    <d v="1899-12-30T12:25:00"/>
    <x v="128"/>
    <b v="1"/>
    <s v="berry_boost, black_currant"/>
    <s v="berry_boost"/>
    <s v="black_currant"/>
    <x v="0"/>
    <x v="0"/>
    <x v="0"/>
  </r>
  <r>
    <n v="911"/>
    <x v="0"/>
    <x v="887"/>
    <x v="8"/>
    <n v="24"/>
    <x v="1"/>
    <x v="1"/>
    <s v="Mon, Sat, Sun"/>
    <s v="Mon"/>
    <s v="Sat"/>
    <s v="Sun"/>
    <m/>
    <m/>
    <b v="1"/>
    <s v="XCore"/>
    <s v="XCore"/>
    <m/>
    <m/>
    <d v="1899-12-30T20:53:00"/>
    <d v="1899-12-30T21:33:00"/>
    <x v="77"/>
    <b v="0"/>
    <s v=""/>
    <m/>
    <m/>
    <x v="0"/>
    <x v="0"/>
    <x v="0"/>
  </r>
  <r>
    <n v="912"/>
    <x v="0"/>
    <x v="888"/>
    <x v="21"/>
    <n v="47"/>
    <x v="1"/>
    <x v="2"/>
    <s v="Mon"/>
    <s v="Mon"/>
    <m/>
    <m/>
    <m/>
    <m/>
    <b v="0"/>
    <s v=""/>
    <m/>
    <m/>
    <m/>
    <d v="1899-12-30T19:32:00"/>
    <d v="1899-12-30T20:22:00"/>
    <x v="4"/>
    <b v="1"/>
    <s v="lemon"/>
    <s v="lemon"/>
    <m/>
    <x v="0"/>
    <x v="0"/>
    <x v="1"/>
  </r>
  <r>
    <n v="913"/>
    <x v="1"/>
    <x v="889"/>
    <x v="11"/>
    <n v="34"/>
    <x v="1"/>
    <x v="2"/>
    <s v="Sun"/>
    <s v="Sun"/>
    <m/>
    <m/>
    <m/>
    <m/>
    <b v="1"/>
    <s v="LesMiles, Running, Zumba"/>
    <s v="LesMiles"/>
    <s v="Running"/>
    <s v="Zumba"/>
    <d v="1899-12-30T14:47:00"/>
    <d v="1899-12-30T16:49:00"/>
    <x v="47"/>
    <b v="1"/>
    <s v="black_currant, passion_fruit"/>
    <s v="black_currant"/>
    <s v="passion_fruit"/>
    <x v="0"/>
    <x v="0"/>
    <x v="1"/>
  </r>
  <r>
    <n v="914"/>
    <x v="1"/>
    <x v="890"/>
    <x v="6"/>
    <n v="30"/>
    <x v="0"/>
    <x v="2"/>
    <s v="Fri"/>
    <s v="Fri"/>
    <m/>
    <m/>
    <m/>
    <m/>
    <b v="0"/>
    <s v=""/>
    <m/>
    <m/>
    <m/>
    <d v="1899-12-30T17:41:00"/>
    <d v="1899-12-30T18:58:00"/>
    <x v="71"/>
    <b v="1"/>
    <s v="lemon"/>
    <s v="lemon"/>
    <m/>
    <x v="0"/>
    <x v="0"/>
    <x v="0"/>
  </r>
  <r>
    <n v="915"/>
    <x v="0"/>
    <x v="891"/>
    <x v="30"/>
    <n v="23"/>
    <x v="1"/>
    <x v="2"/>
    <s v="Wed"/>
    <s v="Wed"/>
    <m/>
    <m/>
    <m/>
    <m/>
    <b v="1"/>
    <s v="Kickboxen, Pilates"/>
    <s v="Kickboxen"/>
    <s v="Pilates"/>
    <m/>
    <d v="1899-12-30T19:00:00"/>
    <d v="1899-12-30T19:49:00"/>
    <x v="64"/>
    <b v="1"/>
    <s v="passion_fruit, coconut_pineapple"/>
    <s v="passion_fruit"/>
    <s v="coconut_pineapple"/>
    <x v="0"/>
    <x v="0"/>
    <x v="0"/>
  </r>
  <r>
    <n v="916"/>
    <x v="1"/>
    <x v="892"/>
    <x v="8"/>
    <n v="24"/>
    <x v="1"/>
    <x v="2"/>
    <s v="Fri"/>
    <s v="Fri"/>
    <m/>
    <m/>
    <m/>
    <m/>
    <b v="1"/>
    <s v="Kickboxen, LesMiles, HIT"/>
    <s v="Kickboxen"/>
    <s v="LesMiles"/>
    <s v="HIT"/>
    <d v="1899-12-30T15:05:00"/>
    <d v="1899-12-30T17:23:00"/>
    <x v="102"/>
    <b v="0"/>
    <s v=""/>
    <m/>
    <m/>
    <x v="0"/>
    <x v="0"/>
    <x v="1"/>
  </r>
  <r>
    <n v="917"/>
    <x v="1"/>
    <x v="893"/>
    <x v="14"/>
    <n v="13"/>
    <x v="1"/>
    <x v="3"/>
    <s v="Thu, Wed"/>
    <s v="Thu"/>
    <s v="Wed"/>
    <m/>
    <m/>
    <m/>
    <b v="0"/>
    <s v=""/>
    <m/>
    <m/>
    <m/>
    <d v="1899-12-30T19:29:00"/>
    <d v="1899-12-30T21:02:00"/>
    <x v="41"/>
    <b v="1"/>
    <s v="coconut_pineapple"/>
    <s v="coconut_pineapple"/>
    <m/>
    <x v="0"/>
    <x v="0"/>
    <x v="0"/>
  </r>
  <r>
    <n v="918"/>
    <x v="0"/>
    <x v="894"/>
    <x v="23"/>
    <n v="18"/>
    <x v="1"/>
    <x v="0"/>
    <s v="Sun, Thu, Tue, Wed"/>
    <s v="Sun"/>
    <s v="Thu"/>
    <s v="Tue"/>
    <s v="Wed"/>
    <m/>
    <b v="0"/>
    <s v=""/>
    <m/>
    <m/>
    <m/>
    <d v="1899-12-30T11:23:00"/>
    <d v="1899-12-30T14:03:00"/>
    <x v="21"/>
    <b v="1"/>
    <s v="black_currant"/>
    <s v="black_currant"/>
    <m/>
    <x v="0"/>
    <x v="0"/>
    <x v="1"/>
  </r>
  <r>
    <n v="919"/>
    <x v="1"/>
    <x v="895"/>
    <x v="28"/>
    <n v="45"/>
    <x v="0"/>
    <x v="4"/>
    <s v="Fri, Sat, Sun, Thu, Tue"/>
    <s v="Fri"/>
    <s v="Sat"/>
    <s v="Sun"/>
    <s v="Thu"/>
    <s v="Tue"/>
    <b v="0"/>
    <s v=""/>
    <m/>
    <m/>
    <m/>
    <d v="1899-12-30T19:43:00"/>
    <d v="1899-12-30T21:01:00"/>
    <x v="106"/>
    <b v="1"/>
    <s v="passion_fruit, black_currant"/>
    <s v="passion_fruit"/>
    <s v="black_currant"/>
    <x v="0"/>
    <x v="0"/>
    <x v="1"/>
  </r>
  <r>
    <n v="920"/>
    <x v="0"/>
    <x v="896"/>
    <x v="2"/>
    <n v="41"/>
    <x v="1"/>
    <x v="2"/>
    <s v="Sat"/>
    <s v="Sat"/>
    <m/>
    <m/>
    <m/>
    <m/>
    <b v="0"/>
    <s v=""/>
    <m/>
    <m/>
    <m/>
    <d v="1899-12-30T10:23:00"/>
    <d v="1899-12-30T11:30:00"/>
    <x v="82"/>
    <b v="1"/>
    <s v="passion_fruit"/>
    <s v="passion_fruit"/>
    <m/>
    <x v="0"/>
    <x v="0"/>
    <x v="1"/>
  </r>
  <r>
    <n v="921"/>
    <x v="0"/>
    <x v="897"/>
    <x v="14"/>
    <n v="13"/>
    <x v="0"/>
    <x v="2"/>
    <s v="Tue"/>
    <s v="Tue"/>
    <m/>
    <m/>
    <m/>
    <m/>
    <b v="1"/>
    <s v="BodyPump, Pilates"/>
    <s v="BodyPump"/>
    <s v="Pilates"/>
    <m/>
    <d v="1899-12-30T12:39:00"/>
    <d v="1899-12-30T13:13:00"/>
    <x v="107"/>
    <b v="0"/>
    <s v=""/>
    <m/>
    <m/>
    <x v="0"/>
    <x v="0"/>
    <x v="1"/>
  </r>
  <r>
    <n v="922"/>
    <x v="0"/>
    <x v="898"/>
    <x v="11"/>
    <n v="34"/>
    <x v="1"/>
    <x v="2"/>
    <s v="Wed"/>
    <s v="Wed"/>
    <m/>
    <m/>
    <m/>
    <m/>
    <b v="1"/>
    <s v="BodyBalance"/>
    <s v="BodyBalance"/>
    <m/>
    <m/>
    <d v="1899-12-30T10:28:00"/>
    <d v="1899-12-30T12:20:00"/>
    <x v="22"/>
    <b v="1"/>
    <s v="berry_boost, orange"/>
    <s v="berry_boost"/>
    <s v="orange"/>
    <x v="1"/>
    <x v="1"/>
    <x v="1"/>
  </r>
  <r>
    <n v="923"/>
    <x v="0"/>
    <x v="899"/>
    <x v="20"/>
    <n v="43"/>
    <x v="1"/>
    <x v="2"/>
    <s v="Mon"/>
    <s v="Mon"/>
    <m/>
    <m/>
    <m/>
    <m/>
    <b v="0"/>
    <s v=""/>
    <m/>
    <m/>
    <m/>
    <d v="1899-12-30T15:04:00"/>
    <d v="1899-12-30T17:05:00"/>
    <x v="134"/>
    <b v="0"/>
    <s v=""/>
    <m/>
    <m/>
    <x v="1"/>
    <x v="3"/>
    <x v="1"/>
  </r>
  <r>
    <n v="924"/>
    <x v="1"/>
    <x v="900"/>
    <x v="33"/>
    <n v="39"/>
    <x v="0"/>
    <x v="3"/>
    <s v="Mon, Thu"/>
    <s v="Mon"/>
    <s v="Thu"/>
    <m/>
    <m/>
    <m/>
    <b v="0"/>
    <s v=""/>
    <m/>
    <m/>
    <m/>
    <d v="1899-12-30T17:57:00"/>
    <d v="1899-12-30T19:45:00"/>
    <x v="84"/>
    <b v="1"/>
    <s v="coconut_pineapple, berry_boost"/>
    <s v="coconut_pineapple"/>
    <s v="berry_boost"/>
    <x v="1"/>
    <x v="3"/>
    <x v="0"/>
  </r>
  <r>
    <n v="925"/>
    <x v="0"/>
    <x v="901"/>
    <x v="14"/>
    <n v="13"/>
    <x v="0"/>
    <x v="1"/>
    <s v="Sat, Thu, Wed"/>
    <s v="Sat"/>
    <s v="Thu"/>
    <s v="Wed"/>
    <m/>
    <m/>
    <b v="1"/>
    <s v="BodyPump, Spinning, XCore"/>
    <s v="BodyPump"/>
    <s v="Spinning"/>
    <s v="XCore"/>
    <d v="1899-12-30T13:47:00"/>
    <d v="1899-12-30T15:04:00"/>
    <x v="71"/>
    <b v="1"/>
    <s v="lemon, berry_boost"/>
    <s v="lemon"/>
    <s v="berry_boost"/>
    <x v="0"/>
    <x v="0"/>
    <x v="1"/>
  </r>
  <r>
    <n v="926"/>
    <x v="1"/>
    <x v="902"/>
    <x v="29"/>
    <n v="22"/>
    <x v="1"/>
    <x v="4"/>
    <s v="Fri, Sun, Thu, Tue, Wed"/>
    <s v="Fri"/>
    <s v="Sun"/>
    <s v="Thu"/>
    <s v="Tue"/>
    <s v="Wed"/>
    <b v="0"/>
    <s v=""/>
    <m/>
    <m/>
    <m/>
    <d v="1899-12-30T09:16:00"/>
    <d v="1899-12-30T12:08:00"/>
    <x v="72"/>
    <b v="0"/>
    <s v=""/>
    <m/>
    <m/>
    <x v="1"/>
    <x v="1"/>
    <x v="1"/>
  </r>
  <r>
    <n v="927"/>
    <x v="1"/>
    <x v="903"/>
    <x v="30"/>
    <n v="23"/>
    <x v="1"/>
    <x v="1"/>
    <s v="Mon, Sun, Thu"/>
    <s v="Mon"/>
    <s v="Sun"/>
    <s v="Thu"/>
    <m/>
    <m/>
    <b v="1"/>
    <s v="Spinning, Pilates, Zumba"/>
    <s v="Spinning"/>
    <s v="Pilates"/>
    <s v="Zumba"/>
    <d v="1899-12-30T10:03:00"/>
    <d v="1899-12-30T12:22:00"/>
    <x v="136"/>
    <b v="1"/>
    <s v="berry_boost, coconut_pineapple"/>
    <s v="berry_boost"/>
    <s v="coconut_pineapple"/>
    <x v="1"/>
    <x v="4"/>
    <x v="1"/>
  </r>
  <r>
    <n v="928"/>
    <x v="0"/>
    <x v="904"/>
    <x v="12"/>
    <n v="37"/>
    <x v="0"/>
    <x v="1"/>
    <s v="Sun, Tue, Wed"/>
    <s v="Sun"/>
    <s v="Tue"/>
    <s v="Wed"/>
    <m/>
    <m/>
    <b v="0"/>
    <s v=""/>
    <m/>
    <m/>
    <m/>
    <d v="1899-12-30T17:33:00"/>
    <d v="1899-12-30T19:57:00"/>
    <x v="9"/>
    <b v="1"/>
    <s v="berry_boost"/>
    <s v="berry_boost"/>
    <m/>
    <x v="0"/>
    <x v="0"/>
    <x v="1"/>
  </r>
  <r>
    <n v="929"/>
    <x v="1"/>
    <x v="905"/>
    <x v="25"/>
    <n v="29"/>
    <x v="0"/>
    <x v="4"/>
    <s v="Fri, Mon, Sat, Thu, Wed"/>
    <s v="Fri"/>
    <s v="Mon"/>
    <s v="Sat"/>
    <s v="Thu"/>
    <s v="Wed"/>
    <b v="1"/>
    <s v="Pilates, BodyPump, Yoga"/>
    <s v="Pilates"/>
    <s v="BodyPump"/>
    <s v="Yoga"/>
    <d v="1899-12-30T09:38:00"/>
    <d v="1899-12-30T10:39:00"/>
    <x v="13"/>
    <b v="0"/>
    <s v=""/>
    <m/>
    <m/>
    <x v="0"/>
    <x v="0"/>
    <x v="0"/>
  </r>
  <r>
    <n v="930"/>
    <x v="0"/>
    <x v="193"/>
    <x v="30"/>
    <n v="23"/>
    <x v="0"/>
    <x v="4"/>
    <s v="Fri, Mon, Sat, Thu, Wed"/>
    <s v="Fri"/>
    <s v="Mon"/>
    <s v="Sat"/>
    <s v="Thu"/>
    <s v="Wed"/>
    <b v="0"/>
    <s v=""/>
    <m/>
    <m/>
    <m/>
    <d v="1899-12-30T13:57:00"/>
    <d v="1899-12-30T16:26:00"/>
    <x v="18"/>
    <b v="1"/>
    <s v="lemon"/>
    <s v="lemon"/>
    <m/>
    <x v="0"/>
    <x v="0"/>
    <x v="1"/>
  </r>
  <r>
    <n v="931"/>
    <x v="0"/>
    <x v="906"/>
    <x v="29"/>
    <n v="23"/>
    <x v="1"/>
    <x v="4"/>
    <s v="Fri, Mon, Sun, Tue, Wed"/>
    <s v="Fri"/>
    <s v="Mon"/>
    <s v="Sun"/>
    <s v="Tue"/>
    <s v="Wed"/>
    <b v="0"/>
    <s v=""/>
    <m/>
    <m/>
    <m/>
    <d v="1899-12-30T16:33:00"/>
    <d v="1899-12-30T18:03:00"/>
    <x v="140"/>
    <b v="0"/>
    <s v=""/>
    <m/>
    <m/>
    <x v="0"/>
    <x v="0"/>
    <x v="1"/>
  </r>
  <r>
    <n v="932"/>
    <x v="1"/>
    <x v="907"/>
    <x v="0"/>
    <n v="27"/>
    <x v="0"/>
    <x v="1"/>
    <s v="Fri, Sat, Thu"/>
    <s v="Fri"/>
    <s v="Sat"/>
    <s v="Thu"/>
    <m/>
    <m/>
    <b v="1"/>
    <s v="Yoga"/>
    <s v="Yoga"/>
    <m/>
    <m/>
    <d v="1899-12-30T10:48:00"/>
    <d v="1899-12-30T13:15:00"/>
    <x v="51"/>
    <b v="1"/>
    <s v="coconut_pineapple, lemon"/>
    <s v="coconut_pineapple"/>
    <s v="lemon"/>
    <x v="0"/>
    <x v="0"/>
    <x v="1"/>
  </r>
  <r>
    <n v="933"/>
    <x v="0"/>
    <x v="908"/>
    <x v="5"/>
    <n v="15"/>
    <x v="0"/>
    <x v="2"/>
    <s v="Fri"/>
    <s v="Fri"/>
    <m/>
    <m/>
    <m/>
    <m/>
    <b v="1"/>
    <s v="BodyPump"/>
    <s v="BodyPump"/>
    <m/>
    <m/>
    <d v="1899-12-30T19:06:00"/>
    <d v="1899-12-30T21:17:00"/>
    <x v="95"/>
    <b v="1"/>
    <s v="black_currant, coconut_pineapple"/>
    <s v="black_currant"/>
    <s v="coconut_pineapple"/>
    <x v="1"/>
    <x v="2"/>
    <x v="1"/>
  </r>
  <r>
    <n v="934"/>
    <x v="0"/>
    <x v="909"/>
    <x v="2"/>
    <n v="41"/>
    <x v="0"/>
    <x v="4"/>
    <s v="Fri, Sat, Thu, Tue, Wed"/>
    <s v="Fri"/>
    <s v="Sat"/>
    <s v="Thu"/>
    <s v="Tue"/>
    <s v="Wed"/>
    <b v="0"/>
    <s v=""/>
    <m/>
    <m/>
    <m/>
    <d v="1899-12-30T13:53:00"/>
    <d v="1899-12-30T16:05:00"/>
    <x v="121"/>
    <b v="0"/>
    <s v=""/>
    <m/>
    <m/>
    <x v="0"/>
    <x v="0"/>
    <x v="0"/>
  </r>
  <r>
    <n v="935"/>
    <x v="0"/>
    <x v="910"/>
    <x v="5"/>
    <n v="15"/>
    <x v="1"/>
    <x v="3"/>
    <s v="Sun, Wed"/>
    <s v="Sun"/>
    <s v="Wed"/>
    <m/>
    <m/>
    <m/>
    <b v="0"/>
    <s v=""/>
    <m/>
    <m/>
    <m/>
    <d v="1899-12-30T12:35:00"/>
    <d v="1899-12-30T14:06:00"/>
    <x v="26"/>
    <b v="0"/>
    <s v=""/>
    <m/>
    <m/>
    <x v="0"/>
    <x v="0"/>
    <x v="1"/>
  </r>
  <r>
    <n v="936"/>
    <x v="1"/>
    <x v="911"/>
    <x v="14"/>
    <n v="13"/>
    <x v="0"/>
    <x v="1"/>
    <s v="Mon, Thu, Wed"/>
    <s v="Mon"/>
    <s v="Thu"/>
    <s v="Wed"/>
    <m/>
    <m/>
    <b v="1"/>
    <s v="BodyPump, LesMiles, Pilates"/>
    <s v="BodyPump"/>
    <s v="LesMiles"/>
    <s v="Pilates"/>
    <d v="1899-12-30T15:31:00"/>
    <d v="1899-12-30T16:07:00"/>
    <x v="10"/>
    <b v="1"/>
    <s v="orange"/>
    <s v="orange"/>
    <m/>
    <x v="0"/>
    <x v="0"/>
    <x v="0"/>
  </r>
  <r>
    <n v="937"/>
    <x v="1"/>
    <x v="912"/>
    <x v="36"/>
    <n v="49"/>
    <x v="0"/>
    <x v="1"/>
    <s v="Sat, Sun, Tue"/>
    <s v="Sat"/>
    <s v="Sun"/>
    <s v="Tue"/>
    <m/>
    <m/>
    <b v="1"/>
    <s v="Zumba"/>
    <s v="Zumba"/>
    <m/>
    <m/>
    <d v="1899-12-30T10:55:00"/>
    <d v="1899-12-30T12:18:00"/>
    <x v="88"/>
    <b v="1"/>
    <s v="orange"/>
    <s v="orange"/>
    <m/>
    <x v="0"/>
    <x v="0"/>
    <x v="0"/>
  </r>
  <r>
    <n v="938"/>
    <x v="1"/>
    <x v="913"/>
    <x v="34"/>
    <n v="32"/>
    <x v="1"/>
    <x v="1"/>
    <s v="Mon, Sun, Thu"/>
    <s v="Mon"/>
    <s v="Sun"/>
    <s v="Thu"/>
    <m/>
    <m/>
    <b v="1"/>
    <s v="Yoga, HIT, LesMiles"/>
    <s v="Yoga"/>
    <s v="HIT"/>
    <s v="LesMiles"/>
    <d v="1899-12-30T09:57:00"/>
    <d v="1899-12-30T12:09:00"/>
    <x v="121"/>
    <b v="1"/>
    <s v="black_currant"/>
    <s v="black_currant"/>
    <m/>
    <x v="1"/>
    <x v="2"/>
    <x v="0"/>
  </r>
  <r>
    <n v="939"/>
    <x v="0"/>
    <x v="914"/>
    <x v="20"/>
    <n v="43"/>
    <x v="0"/>
    <x v="4"/>
    <s v="Mon, Sat, Sun, Tue, Wed"/>
    <s v="Mon"/>
    <s v="Sat"/>
    <s v="Sun"/>
    <s v="Tue"/>
    <s v="Wed"/>
    <b v="0"/>
    <s v=""/>
    <m/>
    <m/>
    <m/>
    <d v="1899-12-30T12:50:00"/>
    <d v="1899-12-30T15:20:00"/>
    <x v="98"/>
    <b v="1"/>
    <s v="berry_boost"/>
    <s v="berry_boost"/>
    <m/>
    <x v="1"/>
    <x v="3"/>
    <x v="0"/>
  </r>
  <r>
    <n v="940"/>
    <x v="0"/>
    <x v="915"/>
    <x v="32"/>
    <n v="33"/>
    <x v="0"/>
    <x v="3"/>
    <s v="Mon, Wed"/>
    <s v="Mon"/>
    <s v="Wed"/>
    <m/>
    <m/>
    <m/>
    <b v="1"/>
    <s v="BodyBalance"/>
    <s v="BodyBalance"/>
    <m/>
    <m/>
    <d v="1899-12-30T20:25:00"/>
    <d v="1899-12-30T23:16:00"/>
    <x v="132"/>
    <b v="1"/>
    <s v="coconut_pineapple"/>
    <s v="coconut_pineapple"/>
    <m/>
    <x v="0"/>
    <x v="0"/>
    <x v="1"/>
  </r>
  <r>
    <n v="941"/>
    <x v="1"/>
    <x v="916"/>
    <x v="28"/>
    <n v="45"/>
    <x v="0"/>
    <x v="1"/>
    <s v="Fri, Sat, Sun"/>
    <s v="Fri"/>
    <s v="Sat"/>
    <s v="Sun"/>
    <m/>
    <m/>
    <b v="0"/>
    <s v=""/>
    <m/>
    <m/>
    <m/>
    <d v="1899-12-30T10:21:00"/>
    <d v="1899-12-30T12:38:00"/>
    <x v="40"/>
    <b v="0"/>
    <s v=""/>
    <m/>
    <m/>
    <x v="1"/>
    <x v="4"/>
    <x v="0"/>
  </r>
  <r>
    <n v="942"/>
    <x v="1"/>
    <x v="917"/>
    <x v="4"/>
    <n v="43"/>
    <x v="1"/>
    <x v="1"/>
    <s v="Thu, Tue, Wed"/>
    <s v="Thu"/>
    <s v="Tue"/>
    <s v="Wed"/>
    <m/>
    <m/>
    <b v="0"/>
    <s v=""/>
    <m/>
    <m/>
    <m/>
    <d v="1899-12-30T10:47:00"/>
    <d v="1899-12-30T13:15:00"/>
    <x v="146"/>
    <b v="0"/>
    <s v=""/>
    <m/>
    <m/>
    <x v="1"/>
    <x v="2"/>
    <x v="1"/>
  </r>
  <r>
    <n v="943"/>
    <x v="1"/>
    <x v="918"/>
    <x v="22"/>
    <n v="40"/>
    <x v="1"/>
    <x v="1"/>
    <s v="Sun, Thu, Wed"/>
    <s v="Sun"/>
    <s v="Thu"/>
    <s v="Wed"/>
    <m/>
    <m/>
    <b v="0"/>
    <s v=""/>
    <m/>
    <m/>
    <m/>
    <d v="1899-12-30T11:58:00"/>
    <d v="1899-12-30T14:31:00"/>
    <x v="117"/>
    <b v="1"/>
    <s v="coconut_pineapple"/>
    <s v="coconut_pineapple"/>
    <m/>
    <x v="1"/>
    <x v="2"/>
    <x v="1"/>
  </r>
  <r>
    <n v="944"/>
    <x v="0"/>
    <x v="919"/>
    <x v="6"/>
    <n v="31"/>
    <x v="1"/>
    <x v="4"/>
    <s v="Fri, Sat, Sun, Thu, Wed"/>
    <s v="Fri"/>
    <s v="Sat"/>
    <s v="Sun"/>
    <s v="Thu"/>
    <s v="Wed"/>
    <b v="0"/>
    <s v=""/>
    <m/>
    <m/>
    <m/>
    <d v="1899-12-30T09:41:00"/>
    <d v="1899-12-30T12:05:00"/>
    <x v="9"/>
    <b v="0"/>
    <s v=""/>
    <m/>
    <m/>
    <x v="1"/>
    <x v="1"/>
    <x v="1"/>
  </r>
  <r>
    <n v="945"/>
    <x v="0"/>
    <x v="920"/>
    <x v="27"/>
    <n v="48"/>
    <x v="1"/>
    <x v="3"/>
    <s v="Thu, Wed"/>
    <s v="Thu"/>
    <s v="Wed"/>
    <m/>
    <m/>
    <m/>
    <b v="0"/>
    <s v=""/>
    <m/>
    <m/>
    <m/>
    <d v="1899-12-30T17:14:00"/>
    <d v="1899-12-30T20:05:00"/>
    <x v="132"/>
    <b v="0"/>
    <s v=""/>
    <m/>
    <m/>
    <x v="1"/>
    <x v="3"/>
    <x v="0"/>
  </r>
  <r>
    <n v="946"/>
    <x v="1"/>
    <x v="921"/>
    <x v="19"/>
    <n v="21"/>
    <x v="0"/>
    <x v="1"/>
    <s v="Mon, Sat, Wed"/>
    <s v="Mon"/>
    <s v="Sat"/>
    <s v="Wed"/>
    <m/>
    <m/>
    <b v="0"/>
    <s v=""/>
    <m/>
    <m/>
    <m/>
    <d v="1899-12-30T13:49:00"/>
    <d v="1899-12-30T14:55:00"/>
    <x v="66"/>
    <b v="0"/>
    <s v=""/>
    <m/>
    <m/>
    <x v="1"/>
    <x v="4"/>
    <x v="0"/>
  </r>
  <r>
    <n v="947"/>
    <x v="0"/>
    <x v="922"/>
    <x v="23"/>
    <n v="18"/>
    <x v="1"/>
    <x v="0"/>
    <s v="Fri, Mon, Sat, Thu"/>
    <s v="Fri"/>
    <s v="Mon"/>
    <s v="Sat"/>
    <s v="Thu"/>
    <m/>
    <b v="0"/>
    <s v=""/>
    <m/>
    <m/>
    <m/>
    <d v="1899-12-30T09:42:00"/>
    <d v="1899-12-30T10:46:00"/>
    <x v="101"/>
    <b v="0"/>
    <s v=""/>
    <m/>
    <m/>
    <x v="1"/>
    <x v="2"/>
    <x v="0"/>
  </r>
  <r>
    <n v="948"/>
    <x v="0"/>
    <x v="923"/>
    <x v="8"/>
    <n v="24"/>
    <x v="0"/>
    <x v="3"/>
    <s v="Mon, Tue"/>
    <s v="Mon"/>
    <s v="Tue"/>
    <m/>
    <m/>
    <m/>
    <b v="1"/>
    <s v="Spinning, LesMiles, BodyPump"/>
    <s v="Spinning"/>
    <s v="LesMiles"/>
    <s v="BodyPump"/>
    <d v="1899-12-30T11:39:00"/>
    <d v="1899-12-30T13:24:00"/>
    <x v="94"/>
    <b v="0"/>
    <s v=""/>
    <m/>
    <m/>
    <x v="0"/>
    <x v="0"/>
    <x v="1"/>
  </r>
  <r>
    <n v="949"/>
    <x v="1"/>
    <x v="924"/>
    <x v="11"/>
    <n v="34"/>
    <x v="1"/>
    <x v="3"/>
    <s v="Fri, Mon"/>
    <s v="Fri"/>
    <s v="Mon"/>
    <m/>
    <m/>
    <m/>
    <b v="0"/>
    <s v=""/>
    <m/>
    <m/>
    <m/>
    <d v="1899-12-30T17:01:00"/>
    <d v="1899-12-30T19:09:00"/>
    <x v="119"/>
    <b v="0"/>
    <s v=""/>
    <m/>
    <m/>
    <x v="1"/>
    <x v="4"/>
    <x v="1"/>
  </r>
  <r>
    <n v="950"/>
    <x v="0"/>
    <x v="925"/>
    <x v="29"/>
    <n v="22"/>
    <x v="1"/>
    <x v="4"/>
    <s v="Fri, Mon, Sat, Sun, Wed"/>
    <s v="Fri"/>
    <s v="Mon"/>
    <s v="Sat"/>
    <s v="Sun"/>
    <s v="Wed"/>
    <b v="1"/>
    <s v="Running"/>
    <s v="Running"/>
    <m/>
    <m/>
    <d v="1899-12-30T15:44:00"/>
    <d v="1899-12-30T17:05:00"/>
    <x v="27"/>
    <b v="0"/>
    <s v=""/>
    <m/>
    <m/>
    <x v="1"/>
    <x v="1"/>
    <x v="1"/>
  </r>
  <r>
    <n v="951"/>
    <x v="0"/>
    <x v="926"/>
    <x v="19"/>
    <n v="21"/>
    <x v="0"/>
    <x v="4"/>
    <s v="Fri, Mon, Sat, Tue, Wed"/>
    <s v="Fri"/>
    <s v="Mon"/>
    <s v="Sat"/>
    <s v="Tue"/>
    <s v="Wed"/>
    <b v="1"/>
    <s v="HIT, Pilates"/>
    <s v="HIT"/>
    <s v="Pilates"/>
    <m/>
    <d v="1899-12-30T11:36:00"/>
    <d v="1899-12-30T14:23:00"/>
    <x v="17"/>
    <b v="0"/>
    <s v=""/>
    <m/>
    <m/>
    <x v="0"/>
    <x v="0"/>
    <x v="1"/>
  </r>
  <r>
    <n v="952"/>
    <x v="1"/>
    <x v="927"/>
    <x v="20"/>
    <n v="42"/>
    <x v="1"/>
    <x v="0"/>
    <s v="Mon, Sat, Sun, Tue"/>
    <s v="Mon"/>
    <s v="Sat"/>
    <s v="Sun"/>
    <s v="Tue"/>
    <m/>
    <b v="1"/>
    <s v="Zumba, Pilates"/>
    <s v="Zumba"/>
    <s v="Pilates"/>
    <m/>
    <d v="1899-12-30T19:21:00"/>
    <d v="1899-12-30T21:49:00"/>
    <x v="146"/>
    <b v="0"/>
    <s v=""/>
    <m/>
    <m/>
    <x v="1"/>
    <x v="1"/>
    <x v="0"/>
  </r>
  <r>
    <n v="953"/>
    <x v="0"/>
    <x v="928"/>
    <x v="21"/>
    <n v="47"/>
    <x v="1"/>
    <x v="3"/>
    <s v="Mon, Wed"/>
    <s v="Mon"/>
    <s v="Wed"/>
    <m/>
    <m/>
    <m/>
    <b v="1"/>
    <s v="BodyPump, Zumba"/>
    <s v="BodyPump"/>
    <s v="Zumba"/>
    <m/>
    <d v="1899-12-30T18:47:00"/>
    <d v="1899-12-30T21:35:00"/>
    <x v="104"/>
    <b v="1"/>
    <s v="berry_boost, orange"/>
    <s v="berry_boost"/>
    <s v="orange"/>
    <x v="0"/>
    <x v="0"/>
    <x v="1"/>
  </r>
  <r>
    <n v="954"/>
    <x v="1"/>
    <x v="929"/>
    <x v="3"/>
    <n v="44"/>
    <x v="0"/>
    <x v="4"/>
    <s v="Fri, Sat, Sun, Thu, Tue"/>
    <s v="Fri"/>
    <s v="Sat"/>
    <s v="Sun"/>
    <s v="Thu"/>
    <s v="Tue"/>
    <b v="1"/>
    <s v="HIT, Kickboxen"/>
    <s v="HIT"/>
    <s v="Kickboxen"/>
    <m/>
    <d v="1899-12-30T15:27:00"/>
    <d v="1899-12-30T17:39:00"/>
    <x v="121"/>
    <b v="0"/>
    <s v=""/>
    <m/>
    <m/>
    <x v="1"/>
    <x v="2"/>
    <x v="0"/>
  </r>
  <r>
    <n v="955"/>
    <x v="1"/>
    <x v="930"/>
    <x v="15"/>
    <n v="38"/>
    <x v="1"/>
    <x v="1"/>
    <s v="Fri, Tue, Wed"/>
    <s v="Fri"/>
    <s v="Tue"/>
    <s v="Wed"/>
    <m/>
    <m/>
    <b v="1"/>
    <s v="BodyBalance, HIT"/>
    <s v="BodyBalance"/>
    <s v="HIT"/>
    <m/>
    <d v="1899-12-30T12:46:00"/>
    <d v="1899-12-30T13:49:00"/>
    <x v="143"/>
    <b v="1"/>
    <s v="lemon"/>
    <s v="lemon"/>
    <m/>
    <x v="1"/>
    <x v="2"/>
    <x v="0"/>
  </r>
  <r>
    <n v="956"/>
    <x v="0"/>
    <x v="931"/>
    <x v="17"/>
    <n v="14"/>
    <x v="0"/>
    <x v="3"/>
    <s v="Sat, Sun"/>
    <s v="Sat"/>
    <s v="Sun"/>
    <m/>
    <m/>
    <m/>
    <b v="1"/>
    <s v="Kickboxen"/>
    <s v="Kickboxen"/>
    <m/>
    <m/>
    <d v="1899-12-30T14:18:00"/>
    <d v="1899-12-30T15:13:00"/>
    <x v="138"/>
    <b v="1"/>
    <s v="lemon, coconut_pineapple"/>
    <s v="lemon"/>
    <s v="coconut_pineapple"/>
    <x v="0"/>
    <x v="0"/>
    <x v="0"/>
  </r>
  <r>
    <n v="957"/>
    <x v="0"/>
    <x v="932"/>
    <x v="18"/>
    <n v="19"/>
    <x v="0"/>
    <x v="1"/>
    <s v="Sat, Sun, Thu"/>
    <s v="Sat"/>
    <s v="Sun"/>
    <s v="Thu"/>
    <m/>
    <m/>
    <b v="0"/>
    <s v=""/>
    <m/>
    <m/>
    <m/>
    <d v="1899-12-30T17:43:00"/>
    <d v="1899-12-30T18:34:00"/>
    <x v="123"/>
    <b v="0"/>
    <s v=""/>
    <m/>
    <m/>
    <x v="1"/>
    <x v="2"/>
    <x v="0"/>
  </r>
  <r>
    <n v="958"/>
    <x v="0"/>
    <x v="933"/>
    <x v="17"/>
    <n v="14"/>
    <x v="1"/>
    <x v="1"/>
    <s v="Fri, Sun, Thu"/>
    <s v="Fri"/>
    <s v="Sun"/>
    <s v="Thu"/>
    <m/>
    <m/>
    <b v="1"/>
    <s v="Yoga"/>
    <s v="Yoga"/>
    <m/>
    <m/>
    <d v="1899-12-30T13:59:00"/>
    <d v="1899-12-30T16:41:00"/>
    <x v="44"/>
    <b v="1"/>
    <s v="lemon"/>
    <s v="lemon"/>
    <m/>
    <x v="0"/>
    <x v="0"/>
    <x v="0"/>
  </r>
  <r>
    <n v="959"/>
    <x v="0"/>
    <x v="934"/>
    <x v="19"/>
    <n v="21"/>
    <x v="0"/>
    <x v="1"/>
    <s v="Fri, Sat, Tue"/>
    <s v="Fri"/>
    <s v="Sat"/>
    <s v="Tue"/>
    <m/>
    <m/>
    <b v="0"/>
    <s v=""/>
    <m/>
    <m/>
    <m/>
    <d v="1899-12-30T09:22:00"/>
    <d v="1899-12-30T10:52:00"/>
    <x v="140"/>
    <b v="1"/>
    <s v="black_currant"/>
    <s v="black_currant"/>
    <m/>
    <x v="1"/>
    <x v="4"/>
    <x v="1"/>
  </r>
  <r>
    <n v="960"/>
    <x v="0"/>
    <x v="935"/>
    <x v="34"/>
    <n v="31"/>
    <x v="1"/>
    <x v="1"/>
    <s v="Fri, Sat, Tue"/>
    <s v="Fri"/>
    <s v="Sat"/>
    <s v="Tue"/>
    <m/>
    <m/>
    <b v="0"/>
    <s v=""/>
    <m/>
    <m/>
    <m/>
    <d v="1899-12-30T10:14:00"/>
    <d v="1899-12-30T13:13:00"/>
    <x v="120"/>
    <b v="0"/>
    <s v=""/>
    <m/>
    <m/>
    <x v="1"/>
    <x v="1"/>
    <x v="0"/>
  </r>
  <r>
    <n v="961"/>
    <x v="0"/>
    <x v="936"/>
    <x v="32"/>
    <n v="33"/>
    <x v="0"/>
    <x v="0"/>
    <s v="Fri, Mon, Sun, Thu"/>
    <s v="Fri"/>
    <s v="Mon"/>
    <s v="Sun"/>
    <s v="Thu"/>
    <m/>
    <b v="0"/>
    <s v=""/>
    <m/>
    <m/>
    <m/>
    <d v="1899-12-30T10:24:00"/>
    <d v="1899-12-30T11:48:00"/>
    <x v="63"/>
    <b v="1"/>
    <s v="lemon"/>
    <s v="lemon"/>
    <m/>
    <x v="0"/>
    <x v="0"/>
    <x v="1"/>
  </r>
  <r>
    <n v="962"/>
    <x v="0"/>
    <x v="937"/>
    <x v="26"/>
    <n v="28"/>
    <x v="1"/>
    <x v="1"/>
    <s v="Fri, Sat, Sun"/>
    <s v="Fri"/>
    <s v="Sat"/>
    <s v="Sun"/>
    <m/>
    <m/>
    <b v="0"/>
    <s v=""/>
    <m/>
    <m/>
    <m/>
    <d v="1899-12-30T13:28:00"/>
    <d v="1899-12-30T15:44:00"/>
    <x v="39"/>
    <b v="1"/>
    <s v="berry_boost, black_currant"/>
    <s v="berry_boost"/>
    <s v="black_currant"/>
    <x v="1"/>
    <x v="3"/>
    <x v="0"/>
  </r>
  <r>
    <n v="963"/>
    <x v="1"/>
    <x v="938"/>
    <x v="14"/>
    <n v="13"/>
    <x v="0"/>
    <x v="3"/>
    <s v="Fri, Tue"/>
    <s v="Fri"/>
    <s v="Tue"/>
    <m/>
    <m/>
    <m/>
    <b v="1"/>
    <s v="XCore"/>
    <s v="XCore"/>
    <m/>
    <m/>
    <d v="1899-12-30T09:23:00"/>
    <d v="1899-12-30T12:02:00"/>
    <x v="31"/>
    <b v="0"/>
    <s v=""/>
    <m/>
    <m/>
    <x v="0"/>
    <x v="0"/>
    <x v="0"/>
  </r>
  <r>
    <n v="964"/>
    <x v="1"/>
    <x v="939"/>
    <x v="4"/>
    <n v="43"/>
    <x v="1"/>
    <x v="1"/>
    <s v="Fri, Sun, Tue"/>
    <s v="Fri"/>
    <s v="Sun"/>
    <s v="Tue"/>
    <m/>
    <m/>
    <b v="0"/>
    <s v=""/>
    <m/>
    <m/>
    <m/>
    <d v="1899-12-30T18:37:00"/>
    <d v="1899-12-30T20:15:00"/>
    <x v="29"/>
    <b v="0"/>
    <s v=""/>
    <m/>
    <m/>
    <x v="1"/>
    <x v="2"/>
    <x v="0"/>
  </r>
  <r>
    <n v="965"/>
    <x v="1"/>
    <x v="940"/>
    <x v="17"/>
    <n v="14"/>
    <x v="1"/>
    <x v="2"/>
    <s v="Mon"/>
    <s v="Mon"/>
    <m/>
    <m/>
    <m/>
    <m/>
    <b v="1"/>
    <s v="Yoga, BodyBalance, XCore"/>
    <s v="Yoga"/>
    <s v="BodyBalance"/>
    <s v="XCore"/>
    <d v="1899-12-30T11:56:00"/>
    <d v="1899-12-30T13:37:00"/>
    <x v="133"/>
    <b v="0"/>
    <s v=""/>
    <m/>
    <m/>
    <x v="0"/>
    <x v="0"/>
    <x v="1"/>
  </r>
  <r>
    <n v="966"/>
    <x v="1"/>
    <x v="941"/>
    <x v="12"/>
    <n v="36"/>
    <x v="0"/>
    <x v="3"/>
    <s v="Sat, Wed"/>
    <s v="Sat"/>
    <s v="Wed"/>
    <m/>
    <m/>
    <m/>
    <b v="0"/>
    <s v=""/>
    <m/>
    <m/>
    <m/>
    <d v="1899-12-30T16:49:00"/>
    <d v="1899-12-30T19:10:00"/>
    <x v="113"/>
    <b v="0"/>
    <s v=""/>
    <m/>
    <m/>
    <x v="1"/>
    <x v="4"/>
    <x v="0"/>
  </r>
  <r>
    <n v="967"/>
    <x v="0"/>
    <x v="942"/>
    <x v="9"/>
    <n v="26"/>
    <x v="1"/>
    <x v="2"/>
    <s v="Mon"/>
    <s v="Mon"/>
    <m/>
    <m/>
    <m/>
    <m/>
    <b v="1"/>
    <s v="XCore"/>
    <s v="XCore"/>
    <m/>
    <m/>
    <d v="1899-12-30T11:42:00"/>
    <d v="1899-12-30T13:39:00"/>
    <x v="73"/>
    <b v="0"/>
    <s v=""/>
    <m/>
    <m/>
    <x v="1"/>
    <x v="3"/>
    <x v="1"/>
  </r>
  <r>
    <n v="968"/>
    <x v="0"/>
    <x v="943"/>
    <x v="14"/>
    <n v="13"/>
    <x v="1"/>
    <x v="1"/>
    <s v="Mon, Tue, Wed"/>
    <s v="Mon"/>
    <s v="Tue"/>
    <s v="Wed"/>
    <m/>
    <m/>
    <b v="0"/>
    <s v=""/>
    <m/>
    <m/>
    <m/>
    <d v="1899-12-30T13:36:00"/>
    <d v="1899-12-30T14:08:00"/>
    <x v="105"/>
    <b v="0"/>
    <s v=""/>
    <m/>
    <m/>
    <x v="1"/>
    <x v="2"/>
    <x v="1"/>
  </r>
  <r>
    <n v="969"/>
    <x v="1"/>
    <x v="944"/>
    <x v="38"/>
    <n v="25"/>
    <x v="1"/>
    <x v="2"/>
    <s v="Fri"/>
    <s v="Fri"/>
    <m/>
    <m/>
    <m/>
    <m/>
    <b v="0"/>
    <s v=""/>
    <m/>
    <m/>
    <m/>
    <d v="1899-12-30T15:33:00"/>
    <d v="1899-12-30T18:00:00"/>
    <x v="51"/>
    <b v="0"/>
    <s v=""/>
    <m/>
    <m/>
    <x v="1"/>
    <x v="2"/>
    <x v="1"/>
  </r>
  <r>
    <n v="970"/>
    <x v="1"/>
    <x v="945"/>
    <x v="1"/>
    <n v="46"/>
    <x v="0"/>
    <x v="3"/>
    <s v="Thu, Tue"/>
    <s v="Thu"/>
    <s v="Tue"/>
    <m/>
    <m/>
    <m/>
    <b v="0"/>
    <s v=""/>
    <m/>
    <m/>
    <m/>
    <d v="1899-12-30T08:22:00"/>
    <d v="1899-12-30T10:52:00"/>
    <x v="98"/>
    <b v="0"/>
    <s v=""/>
    <m/>
    <m/>
    <x v="1"/>
    <x v="2"/>
    <x v="0"/>
  </r>
  <r>
    <n v="971"/>
    <x v="0"/>
    <x v="946"/>
    <x v="29"/>
    <n v="22"/>
    <x v="0"/>
    <x v="1"/>
    <s v="Fri, Mon, Tue"/>
    <s v="Fri"/>
    <s v="Mon"/>
    <s v="Tue"/>
    <m/>
    <m/>
    <b v="1"/>
    <s v="HIT, Running, Spinning"/>
    <s v="HIT"/>
    <s v="Running"/>
    <s v="Spinning"/>
    <d v="1899-12-30T16:37:00"/>
    <d v="1899-12-30T17:48:00"/>
    <x v="45"/>
    <b v="1"/>
    <s v="berry_boost"/>
    <s v="berry_boost"/>
    <m/>
    <x v="0"/>
    <x v="0"/>
    <x v="0"/>
  </r>
  <r>
    <n v="972"/>
    <x v="1"/>
    <x v="947"/>
    <x v="6"/>
    <n v="30"/>
    <x v="0"/>
    <x v="1"/>
    <s v="Fri, Sat, Thu"/>
    <s v="Fri"/>
    <s v="Sat"/>
    <s v="Thu"/>
    <m/>
    <m/>
    <b v="1"/>
    <s v="Yoga, BodyPump, Kickboxen"/>
    <s v="Yoga"/>
    <s v="BodyPump"/>
    <s v="Kickboxen"/>
    <d v="1899-12-30T14:44:00"/>
    <d v="1899-12-30T16:00:00"/>
    <x v="128"/>
    <b v="1"/>
    <s v="coconut_pineapple"/>
    <s v="coconut_pineapple"/>
    <m/>
    <x v="1"/>
    <x v="4"/>
    <x v="0"/>
  </r>
  <r>
    <n v="973"/>
    <x v="1"/>
    <x v="948"/>
    <x v="32"/>
    <n v="33"/>
    <x v="1"/>
    <x v="2"/>
    <s v="Wed"/>
    <s v="Wed"/>
    <m/>
    <m/>
    <m/>
    <m/>
    <b v="1"/>
    <s v="BodyPump"/>
    <s v="BodyPump"/>
    <m/>
    <m/>
    <d v="1899-12-30T16:41:00"/>
    <d v="1899-12-30T18:29:00"/>
    <x v="84"/>
    <b v="0"/>
    <s v=""/>
    <m/>
    <m/>
    <x v="0"/>
    <x v="0"/>
    <x v="0"/>
  </r>
  <r>
    <n v="974"/>
    <x v="0"/>
    <x v="949"/>
    <x v="26"/>
    <n v="28"/>
    <x v="0"/>
    <x v="0"/>
    <s v="Fri, Mon, Tue, Wed"/>
    <s v="Fri"/>
    <s v="Mon"/>
    <s v="Tue"/>
    <s v="Wed"/>
    <m/>
    <b v="1"/>
    <s v="Spinning"/>
    <s v="Spinning"/>
    <m/>
    <m/>
    <d v="1899-12-30T11:10:00"/>
    <d v="1899-12-30T13:56:00"/>
    <x v="57"/>
    <b v="0"/>
    <s v=""/>
    <m/>
    <m/>
    <x v="1"/>
    <x v="2"/>
    <x v="0"/>
  </r>
  <r>
    <n v="975"/>
    <x v="1"/>
    <x v="950"/>
    <x v="21"/>
    <n v="48"/>
    <x v="1"/>
    <x v="1"/>
    <s v="Fri, Sun, Wed"/>
    <s v="Fri"/>
    <s v="Sun"/>
    <s v="Wed"/>
    <m/>
    <m/>
    <b v="0"/>
    <s v=""/>
    <m/>
    <m/>
    <m/>
    <d v="1899-12-30T11:07:00"/>
    <d v="1899-12-30T12:43:00"/>
    <x v="126"/>
    <b v="1"/>
    <s v="berry_boost, coconut_pineapple"/>
    <s v="berry_boost"/>
    <s v="coconut_pineapple"/>
    <x v="1"/>
    <x v="4"/>
    <x v="0"/>
  </r>
  <r>
    <n v="976"/>
    <x v="0"/>
    <x v="951"/>
    <x v="5"/>
    <n v="16"/>
    <x v="0"/>
    <x v="4"/>
    <s v="Fri, Mon, Thu, Tue, Wed"/>
    <s v="Fri"/>
    <s v="Mon"/>
    <s v="Thu"/>
    <s v="Tue"/>
    <s v="Wed"/>
    <b v="0"/>
    <s v=""/>
    <m/>
    <m/>
    <m/>
    <d v="1899-12-30T16:39:00"/>
    <d v="1899-12-30T18:30:00"/>
    <x v="148"/>
    <b v="1"/>
    <s v="orange"/>
    <s v="orange"/>
    <m/>
    <x v="0"/>
    <x v="0"/>
    <x v="1"/>
  </r>
  <r>
    <n v="977"/>
    <x v="1"/>
    <x v="168"/>
    <x v="10"/>
    <n v="35"/>
    <x v="1"/>
    <x v="1"/>
    <s v="Mon, Sat, Thu"/>
    <s v="Mon"/>
    <s v="Sat"/>
    <s v="Thu"/>
    <m/>
    <m/>
    <b v="1"/>
    <s v="BodyPump"/>
    <s v="BodyPump"/>
    <m/>
    <m/>
    <d v="1899-12-30T10:36:00"/>
    <d v="1899-12-30T11:46:00"/>
    <x v="96"/>
    <b v="1"/>
    <s v="orange, berry_boost"/>
    <s v="orange"/>
    <s v="berry_boost"/>
    <x v="1"/>
    <x v="2"/>
    <x v="0"/>
  </r>
  <r>
    <n v="978"/>
    <x v="1"/>
    <x v="952"/>
    <x v="30"/>
    <n v="24"/>
    <x v="1"/>
    <x v="1"/>
    <s v="Fri, Sat, Tue"/>
    <s v="Fri"/>
    <s v="Sat"/>
    <s v="Tue"/>
    <m/>
    <m/>
    <b v="0"/>
    <s v=""/>
    <m/>
    <m/>
    <m/>
    <d v="1899-12-30T19:00:00"/>
    <d v="1899-12-30T21:19:00"/>
    <x v="136"/>
    <b v="1"/>
    <s v="coconut_pineapple"/>
    <s v="coconut_pineapple"/>
    <m/>
    <x v="0"/>
    <x v="0"/>
    <x v="1"/>
  </r>
  <r>
    <n v="979"/>
    <x v="1"/>
    <x v="953"/>
    <x v="24"/>
    <n v="16"/>
    <x v="0"/>
    <x v="1"/>
    <s v="Sat, Sun, Wed"/>
    <s v="Sat"/>
    <s v="Sun"/>
    <s v="Wed"/>
    <m/>
    <m/>
    <b v="1"/>
    <s v="LesMiles, Running, HIT"/>
    <s v="LesMiles"/>
    <s v="Running"/>
    <s v="HIT"/>
    <d v="1899-12-30T13:30:00"/>
    <d v="1899-12-30T14:20:00"/>
    <x v="4"/>
    <b v="1"/>
    <s v="lemon"/>
    <s v="lemon"/>
    <m/>
    <x v="0"/>
    <x v="0"/>
    <x v="0"/>
  </r>
  <r>
    <n v="980"/>
    <x v="1"/>
    <x v="954"/>
    <x v="16"/>
    <n v="32"/>
    <x v="1"/>
    <x v="1"/>
    <s v="Fri, Tue, Wed"/>
    <s v="Fri"/>
    <s v="Tue"/>
    <s v="Wed"/>
    <m/>
    <m/>
    <b v="1"/>
    <s v="Kickboxen"/>
    <s v="Kickboxen"/>
    <m/>
    <m/>
    <d v="1899-12-30T17:47:00"/>
    <d v="1899-12-30T19:28:00"/>
    <x v="133"/>
    <b v="0"/>
    <s v=""/>
    <m/>
    <m/>
    <x v="0"/>
    <x v="0"/>
    <x v="0"/>
  </r>
  <r>
    <n v="981"/>
    <x v="0"/>
    <x v="955"/>
    <x v="16"/>
    <n v="32"/>
    <x v="1"/>
    <x v="1"/>
    <s v="Fri, Sun, Wed"/>
    <s v="Fri"/>
    <s v="Sun"/>
    <s v="Wed"/>
    <m/>
    <m/>
    <b v="1"/>
    <s v="XCore, Kickboxen, Zumba"/>
    <s v="XCore"/>
    <s v="Kickboxen"/>
    <s v="Zumba"/>
    <d v="1899-12-30T14:52:00"/>
    <d v="1899-12-30T17:32:00"/>
    <x v="21"/>
    <b v="0"/>
    <s v=""/>
    <m/>
    <m/>
    <x v="0"/>
    <x v="0"/>
    <x v="1"/>
  </r>
  <r>
    <n v="982"/>
    <x v="0"/>
    <x v="956"/>
    <x v="19"/>
    <n v="21"/>
    <x v="1"/>
    <x v="3"/>
    <s v="Fri, Thu"/>
    <s v="Fri"/>
    <s v="Thu"/>
    <m/>
    <m/>
    <m/>
    <b v="1"/>
    <s v="Spinning, Zumba, XCore"/>
    <s v="Spinning"/>
    <s v="Zumba"/>
    <s v="XCore"/>
    <d v="1899-12-30T19:59:00"/>
    <d v="1899-12-30T20:43:00"/>
    <x v="122"/>
    <b v="0"/>
    <s v=""/>
    <m/>
    <m/>
    <x v="1"/>
    <x v="2"/>
    <x v="1"/>
  </r>
  <r>
    <n v="983"/>
    <x v="1"/>
    <x v="779"/>
    <x v="12"/>
    <n v="36"/>
    <x v="0"/>
    <x v="0"/>
    <s v="Fri, Mon, Tue, Wed"/>
    <s v="Fri"/>
    <s v="Mon"/>
    <s v="Tue"/>
    <s v="Wed"/>
    <m/>
    <b v="1"/>
    <s v="Pilates"/>
    <s v="Pilates"/>
    <m/>
    <m/>
    <d v="1899-12-30T19:22:00"/>
    <d v="1899-12-30T22:13:00"/>
    <x v="132"/>
    <b v="1"/>
    <s v="berry_boost"/>
    <s v="berry_boost"/>
    <m/>
    <x v="1"/>
    <x v="2"/>
    <x v="1"/>
  </r>
  <r>
    <n v="984"/>
    <x v="1"/>
    <x v="957"/>
    <x v="12"/>
    <n v="37"/>
    <x v="1"/>
    <x v="2"/>
    <s v="Fri"/>
    <s v="Fri"/>
    <m/>
    <m/>
    <m/>
    <m/>
    <b v="1"/>
    <s v="LesMiles, Zumba"/>
    <s v="LesMiles"/>
    <s v="Zumba"/>
    <m/>
    <d v="1899-12-30T16:04:00"/>
    <d v="1899-12-30T18:16:00"/>
    <x v="121"/>
    <b v="1"/>
    <s v="black_currant"/>
    <s v="black_currant"/>
    <m/>
    <x v="1"/>
    <x v="2"/>
    <x v="0"/>
  </r>
  <r>
    <n v="985"/>
    <x v="0"/>
    <x v="958"/>
    <x v="27"/>
    <n v="49"/>
    <x v="0"/>
    <x v="2"/>
    <s v="Fri"/>
    <s v="Fri"/>
    <m/>
    <m/>
    <m/>
    <m/>
    <b v="1"/>
    <s v="Pilates, Kickboxen, BodyBalance"/>
    <s v="Pilates"/>
    <s v="Kickboxen"/>
    <s v="BodyBalance"/>
    <d v="1899-12-30T15:17:00"/>
    <d v="1899-12-30T17:00:00"/>
    <x v="60"/>
    <b v="1"/>
    <s v="coconut_pineapple"/>
    <s v="coconut_pineapple"/>
    <m/>
    <x v="0"/>
    <x v="0"/>
    <x v="1"/>
  </r>
  <r>
    <n v="986"/>
    <x v="1"/>
    <x v="959"/>
    <x v="20"/>
    <n v="42"/>
    <x v="1"/>
    <x v="2"/>
    <s v="Mon"/>
    <s v="Mon"/>
    <m/>
    <m/>
    <m/>
    <m/>
    <b v="1"/>
    <s v="HIT"/>
    <s v="HIT"/>
    <m/>
    <m/>
    <d v="1899-12-30T14:05:00"/>
    <d v="1899-12-30T15:38:00"/>
    <x v="41"/>
    <b v="1"/>
    <s v="lemon, black_currant"/>
    <s v="lemon"/>
    <s v="black_currant"/>
    <x v="1"/>
    <x v="4"/>
    <x v="0"/>
  </r>
  <r>
    <n v="987"/>
    <x v="0"/>
    <x v="960"/>
    <x v="28"/>
    <n v="45"/>
    <x v="0"/>
    <x v="4"/>
    <s v="Fri, Mon, Sun, Thu, Wed"/>
    <s v="Fri"/>
    <s v="Mon"/>
    <s v="Sun"/>
    <s v="Thu"/>
    <s v="Wed"/>
    <b v="0"/>
    <s v=""/>
    <m/>
    <m/>
    <m/>
    <d v="1899-12-30T19:04:00"/>
    <d v="1899-12-30T20:44:00"/>
    <x v="89"/>
    <b v="1"/>
    <s v="orange"/>
    <s v="orange"/>
    <m/>
    <x v="1"/>
    <x v="1"/>
    <x v="0"/>
  </r>
  <r>
    <n v="988"/>
    <x v="1"/>
    <x v="961"/>
    <x v="21"/>
    <n v="47"/>
    <x v="0"/>
    <x v="1"/>
    <s v="Mon, Sun, Tue"/>
    <s v="Mon"/>
    <s v="Sun"/>
    <s v="Tue"/>
    <m/>
    <m/>
    <b v="0"/>
    <s v=""/>
    <m/>
    <m/>
    <m/>
    <d v="1899-12-30T10:48:00"/>
    <d v="1899-12-30T12:33:00"/>
    <x v="94"/>
    <b v="1"/>
    <s v="black_currant, lemon"/>
    <s v="black_currant"/>
    <s v="lemon"/>
    <x v="0"/>
    <x v="0"/>
    <x v="0"/>
  </r>
  <r>
    <n v="989"/>
    <x v="0"/>
    <x v="962"/>
    <x v="11"/>
    <n v="34"/>
    <x v="1"/>
    <x v="2"/>
    <s v="Sun"/>
    <s v="Sun"/>
    <m/>
    <m/>
    <m/>
    <m/>
    <b v="1"/>
    <s v="LesMiles, Zumba, Spinning"/>
    <s v="LesMiles"/>
    <s v="Zumba"/>
    <s v="Spinning"/>
    <d v="1899-12-30T09:14:00"/>
    <d v="1899-12-30T11:52:00"/>
    <x v="12"/>
    <b v="0"/>
    <s v=""/>
    <m/>
    <m/>
    <x v="1"/>
    <x v="1"/>
    <x v="1"/>
  </r>
  <r>
    <n v="990"/>
    <x v="1"/>
    <x v="963"/>
    <x v="9"/>
    <n v="27"/>
    <x v="0"/>
    <x v="1"/>
    <s v="Sat, Thu, Wed"/>
    <s v="Sat"/>
    <s v="Thu"/>
    <s v="Wed"/>
    <m/>
    <m/>
    <b v="0"/>
    <s v=""/>
    <m/>
    <m/>
    <m/>
    <d v="1899-12-30T11:50:00"/>
    <d v="1899-12-30T12:54:00"/>
    <x v="101"/>
    <b v="0"/>
    <s v=""/>
    <m/>
    <m/>
    <x v="0"/>
    <x v="0"/>
    <x v="1"/>
  </r>
  <r>
    <n v="991"/>
    <x v="0"/>
    <x v="964"/>
    <x v="4"/>
    <n v="43"/>
    <x v="1"/>
    <x v="1"/>
    <s v="Mon, Sun, Thu"/>
    <s v="Mon"/>
    <s v="Sun"/>
    <s v="Thu"/>
    <m/>
    <m/>
    <b v="0"/>
    <s v=""/>
    <m/>
    <m/>
    <m/>
    <d v="1899-12-30T08:22:00"/>
    <d v="1899-12-30T10:40:00"/>
    <x v="102"/>
    <b v="0"/>
    <s v=""/>
    <m/>
    <m/>
    <x v="1"/>
    <x v="1"/>
    <x v="1"/>
  </r>
  <r>
    <n v="992"/>
    <x v="1"/>
    <x v="965"/>
    <x v="32"/>
    <n v="33"/>
    <x v="0"/>
    <x v="1"/>
    <s v="Fri, Sat, Tue"/>
    <s v="Fri"/>
    <s v="Sat"/>
    <s v="Tue"/>
    <m/>
    <m/>
    <b v="1"/>
    <s v="Kickboxen"/>
    <s v="Kickboxen"/>
    <m/>
    <m/>
    <d v="1899-12-30T10:24:00"/>
    <d v="1899-12-30T12:48:00"/>
    <x v="9"/>
    <b v="0"/>
    <s v=""/>
    <m/>
    <m/>
    <x v="1"/>
    <x v="1"/>
    <x v="1"/>
  </r>
  <r>
    <n v="993"/>
    <x v="0"/>
    <x v="966"/>
    <x v="15"/>
    <n v="39"/>
    <x v="1"/>
    <x v="4"/>
    <s v="Mon, Sat, Sun, Tue, Wed"/>
    <s v="Mon"/>
    <s v="Sat"/>
    <s v="Sun"/>
    <s v="Tue"/>
    <s v="Wed"/>
    <b v="1"/>
    <s v="Running, BodyBalance"/>
    <s v="Running"/>
    <s v="BodyBalance"/>
    <m/>
    <d v="1899-12-30T09:42:00"/>
    <d v="1899-12-30T12:23:00"/>
    <x v="15"/>
    <b v="1"/>
    <s v="lemon"/>
    <s v="lemon"/>
    <m/>
    <x v="1"/>
    <x v="1"/>
    <x v="1"/>
  </r>
  <r>
    <n v="994"/>
    <x v="1"/>
    <x v="967"/>
    <x v="31"/>
    <n v="17"/>
    <x v="1"/>
    <x v="0"/>
    <s v="Mon, Sun, Thu, Tue"/>
    <s v="Mon"/>
    <s v="Sun"/>
    <s v="Thu"/>
    <s v="Tue"/>
    <m/>
    <b v="1"/>
    <s v="LesMiles, BodyPump"/>
    <s v="LesMiles"/>
    <s v="BodyPump"/>
    <m/>
    <d v="1899-12-30T19:50:00"/>
    <d v="1899-12-30T22:43:00"/>
    <x v="65"/>
    <b v="1"/>
    <s v="coconut_pineapple, passion_fruit"/>
    <s v="coconut_pineapple"/>
    <s v="passion_fruit"/>
    <x v="1"/>
    <x v="4"/>
    <x v="1"/>
  </r>
  <r>
    <n v="995"/>
    <x v="0"/>
    <x v="968"/>
    <x v="12"/>
    <n v="36"/>
    <x v="1"/>
    <x v="3"/>
    <s v="Mon, Tue"/>
    <s v="Mon"/>
    <s v="Tue"/>
    <m/>
    <m/>
    <m/>
    <b v="0"/>
    <s v=""/>
    <m/>
    <m/>
    <m/>
    <d v="1899-12-30T10:16:00"/>
    <d v="1899-12-30T13:07:00"/>
    <x v="132"/>
    <b v="1"/>
    <s v="berry_boost, black_currant"/>
    <s v="berry_boost"/>
    <s v="black_currant"/>
    <x v="0"/>
    <x v="0"/>
    <x v="0"/>
  </r>
  <r>
    <n v="996"/>
    <x v="0"/>
    <x v="969"/>
    <x v="33"/>
    <n v="40"/>
    <x v="1"/>
    <x v="1"/>
    <s v="Thu, Tue, Wed"/>
    <s v="Thu"/>
    <s v="Tue"/>
    <s v="Wed"/>
    <m/>
    <m/>
    <b v="0"/>
    <s v=""/>
    <m/>
    <m/>
    <m/>
    <d v="1899-12-30T20:56:00"/>
    <d v="1899-12-30T22:42:00"/>
    <x v="67"/>
    <b v="0"/>
    <s v=""/>
    <m/>
    <m/>
    <x v="0"/>
    <x v="0"/>
    <x v="1"/>
  </r>
  <r>
    <n v="997"/>
    <x v="0"/>
    <x v="970"/>
    <x v="5"/>
    <n v="15"/>
    <x v="1"/>
    <x v="1"/>
    <s v="Fri, Mon, Sun"/>
    <s v="Fri"/>
    <s v="Mon"/>
    <s v="Sun"/>
    <m/>
    <m/>
    <b v="1"/>
    <s v="XCore, Zumba"/>
    <s v="XCore"/>
    <s v="Zumba"/>
    <m/>
    <d v="1899-12-30T09:14:00"/>
    <d v="1899-12-30T11:28:00"/>
    <x v="145"/>
    <b v="1"/>
    <s v="orange, lemon"/>
    <s v="orange"/>
    <s v="lemon"/>
    <x v="0"/>
    <x v="0"/>
    <x v="0"/>
  </r>
  <r>
    <n v="998"/>
    <x v="1"/>
    <x v="971"/>
    <x v="33"/>
    <n v="40"/>
    <x v="1"/>
    <x v="3"/>
    <s v="Fri, Tue"/>
    <s v="Fri"/>
    <s v="Tue"/>
    <m/>
    <m/>
    <m/>
    <b v="0"/>
    <s v=""/>
    <m/>
    <m/>
    <m/>
    <d v="1899-12-30T17:21:00"/>
    <d v="1899-12-30T19:53:00"/>
    <x v="150"/>
    <b v="1"/>
    <s v="coconut_pineapple, black_currant"/>
    <s v="coconut_pineapple"/>
    <s v="black_currant"/>
    <x v="1"/>
    <x v="3"/>
    <x v="0"/>
  </r>
  <r>
    <n v="999"/>
    <x v="1"/>
    <x v="972"/>
    <x v="30"/>
    <n v="23"/>
    <x v="1"/>
    <x v="0"/>
    <s v="Mon, Sun, Thu, Tue"/>
    <s v="Mon"/>
    <s v="Sun"/>
    <s v="Thu"/>
    <s v="Tue"/>
    <m/>
    <b v="1"/>
    <s v="HIT, XCore"/>
    <s v="HIT"/>
    <s v="XCore"/>
    <m/>
    <d v="1899-12-30T10:23:00"/>
    <d v="1899-12-30T12:29:00"/>
    <x v="70"/>
    <b v="1"/>
    <s v="berry_boost"/>
    <s v="berry_boost"/>
    <m/>
    <x v="1"/>
    <x v="3"/>
    <x v="1"/>
  </r>
  <r>
    <n v="1000"/>
    <x v="0"/>
    <x v="973"/>
    <x v="23"/>
    <n v="18"/>
    <x v="0"/>
    <x v="3"/>
    <s v="Thu, Tue"/>
    <s v="Thu"/>
    <s v="Tue"/>
    <m/>
    <m/>
    <m/>
    <b v="0"/>
    <s v=""/>
    <m/>
    <m/>
    <m/>
    <d v="1899-12-30T16:41:00"/>
    <d v="1899-12-30T19:00:00"/>
    <x v="136"/>
    <b v="1"/>
    <s v="passion_fruit, coconut_pineapple"/>
    <s v="passion_fruit"/>
    <s v="coconut_pineapple"/>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F646B-0949-41ED-A258-13CAE67B342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A32:B72" firstHeaderRow="1" firstDataRow="1" firstDataCol="1"/>
  <pivotFields count="28">
    <pivotField dataField="1" showAll="0"/>
    <pivotField showAll="0">
      <items count="3">
        <item x="0"/>
        <item x="1"/>
        <item t="default"/>
      </items>
    </pivotField>
    <pivotField numFmtId="165" showAll="0"/>
    <pivotField axis="axisRow" numFmtId="2" multipleItemSelectionAllowed="1"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items count="6">
        <item x="1"/>
        <item x="4"/>
        <item x="3"/>
        <item x="2"/>
        <item x="0"/>
        <item t="default"/>
      </items>
    </pivotField>
    <pivotField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No of customers" fld="0" subtotal="count" baseField="1"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CAA02D-1843-4E05-BDEC-C2C0BAC64D4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A20:B23" firstHeaderRow="1" firstDataRow="1" firstDataCol="1"/>
  <pivotFields count="28">
    <pivotField dataField="1" showAll="0"/>
    <pivotField axis="axisRow" showAll="0">
      <items count="3">
        <item x="0"/>
        <item x="1"/>
        <item t="default"/>
      </items>
    </pivotField>
    <pivotField numFmtId="165" showAll="0"/>
    <pivotField numFmtId="2" multipleItemSelectionAllowed="1"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items count="152">
        <item x="46"/>
        <item x="111"/>
        <item x="105"/>
        <item x="11"/>
        <item x="107"/>
        <item x="49"/>
        <item x="10"/>
        <item x="91"/>
        <item x="114"/>
        <item x="115"/>
        <item x="77"/>
        <item x="110"/>
        <item x="75"/>
        <item x="53"/>
        <item x="122"/>
        <item x="139"/>
        <item x="149"/>
        <item x="99"/>
        <item x="1"/>
        <item x="64"/>
        <item x="4"/>
        <item x="123"/>
        <item x="59"/>
        <item x="69"/>
        <item x="55"/>
        <item x="138"/>
        <item x="81"/>
        <item x="50"/>
        <item x="35"/>
        <item x="112"/>
        <item x="127"/>
        <item x="13"/>
        <item x="6"/>
        <item x="143"/>
        <item x="101"/>
        <item x="93"/>
        <item x="66"/>
        <item x="82"/>
        <item x="48"/>
        <item x="43"/>
        <item x="96"/>
        <item x="45"/>
        <item x="109"/>
        <item x="86"/>
        <item x="131"/>
        <item x="125"/>
        <item x="128"/>
        <item x="71"/>
        <item x="106"/>
        <item x="32"/>
        <item x="137"/>
        <item x="27"/>
        <item x="42"/>
        <item x="88"/>
        <item x="63"/>
        <item x="87"/>
        <item x="30"/>
        <item x="38"/>
        <item x="58"/>
        <item x="118"/>
        <item x="140"/>
        <item x="26"/>
        <item x="8"/>
        <item x="41"/>
        <item x="68"/>
        <item x="7"/>
        <item x="126"/>
        <item x="124"/>
        <item x="29"/>
        <item x="3"/>
        <item x="89"/>
        <item x="133"/>
        <item x="23"/>
        <item x="60"/>
        <item x="79"/>
        <item x="94"/>
        <item x="67"/>
        <item x="34"/>
        <item x="84"/>
        <item x="92"/>
        <item x="97"/>
        <item x="148"/>
        <item x="22"/>
        <item x="135"/>
        <item x="25"/>
        <item x="103"/>
        <item x="0"/>
        <item x="73"/>
        <item x="24"/>
        <item x="16"/>
        <item x="116"/>
        <item x="134"/>
        <item x="47"/>
        <item x="2"/>
        <item x="129"/>
        <item x="62"/>
        <item x="70"/>
        <item x="144"/>
        <item x="119"/>
        <item x="141"/>
        <item x="28"/>
        <item x="95"/>
        <item x="121"/>
        <item x="108"/>
        <item x="145"/>
        <item x="33"/>
        <item x="39"/>
        <item x="40"/>
        <item x="102"/>
        <item x="136"/>
        <item x="74"/>
        <item x="113"/>
        <item x="36"/>
        <item x="83"/>
        <item x="9"/>
        <item x="14"/>
        <item x="19"/>
        <item x="51"/>
        <item x="146"/>
        <item x="18"/>
        <item x="98"/>
        <item x="85"/>
        <item x="150"/>
        <item x="117"/>
        <item x="20"/>
        <item x="142"/>
        <item x="78"/>
        <item x="147"/>
        <item x="12"/>
        <item x="31"/>
        <item x="21"/>
        <item x="15"/>
        <item x="44"/>
        <item x="61"/>
        <item x="130"/>
        <item x="54"/>
        <item x="57"/>
        <item x="17"/>
        <item x="104"/>
        <item x="76"/>
        <item x="52"/>
        <item x="132"/>
        <item x="72"/>
        <item x="65"/>
        <item x="90"/>
        <item x="37"/>
        <item x="100"/>
        <item x="56"/>
        <item x="80"/>
        <item x="120"/>
        <item x="5"/>
        <item t="default"/>
      </items>
    </pivotField>
    <pivotField showAll="0"/>
    <pivotField showAll="0"/>
    <pivotField showAll="0"/>
    <pivotField showAll="0"/>
    <pivotField showAll="0"/>
    <pivotField showAll="0">
      <items count="6">
        <item x="1"/>
        <item x="4"/>
        <item x="3"/>
        <item x="2"/>
        <item x="0"/>
        <item t="default"/>
      </items>
    </pivotField>
    <pivotField showAll="0"/>
  </pivotFields>
  <rowFields count="1">
    <field x="1"/>
  </rowFields>
  <rowItems count="3">
    <i>
      <x/>
    </i>
    <i>
      <x v="1"/>
    </i>
    <i t="grand">
      <x/>
    </i>
  </rowItems>
  <colItems count="1">
    <i/>
  </colItems>
  <dataFields count="1">
    <dataField name="No of customers" fld="0" subtotal="count" baseField="1" baseItem="0"/>
  </dataFields>
  <chartFormats count="6">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69A440-4251-4384-BBBC-7A14A0606DA1}"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7:U11" firstHeaderRow="1" firstDataRow="2" firstDataCol="1"/>
  <pivotFields count="28">
    <pivotField dataField="1" showAll="0"/>
    <pivotField axis="axisCol" showAll="0">
      <items count="3">
        <item x="0"/>
        <item x="1"/>
        <item t="default"/>
      </items>
    </pivotField>
    <pivotField numFmtId="165" showAll="0"/>
    <pivotField numFmtId="2"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items count="6">
        <item x="1"/>
        <item x="4"/>
        <item x="3"/>
        <item x="2"/>
        <item x="0"/>
        <item t="default"/>
      </items>
    </pivotField>
    <pivotField showAll="0"/>
  </pivotFields>
  <rowFields count="1">
    <field x="5"/>
  </rowFields>
  <rowItems count="3">
    <i>
      <x/>
    </i>
    <i>
      <x v="1"/>
    </i>
    <i t="grand">
      <x/>
    </i>
  </rowItems>
  <colFields count="1">
    <field x="1"/>
  </colFields>
  <colItems count="3">
    <i>
      <x/>
    </i>
    <i>
      <x v="1"/>
    </i>
    <i t="grand">
      <x/>
    </i>
  </colItems>
  <dataFields count="1">
    <dataField name="Count of id" fld="0" subtotal="count" baseField="5"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687389-7C31-4816-9130-3AB548CDC1D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D21" firstHeaderRow="1" firstDataRow="2" firstDataCol="1"/>
  <pivotFields count="28">
    <pivotField dataField="1" showAll="0"/>
    <pivotField axis="axisRow" showAll="0">
      <items count="3">
        <item x="0"/>
        <item x="1"/>
        <item t="default"/>
      </items>
    </pivotField>
    <pivotField numFmtId="165" showAll="0"/>
    <pivotField numFmtId="2"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items count="6">
        <item x="1"/>
        <item x="4"/>
        <item x="3"/>
        <item x="2"/>
        <item x="0"/>
        <item t="default"/>
      </items>
    </pivotField>
    <pivotField axis="axisCol" showAll="0">
      <items count="3">
        <item x="1"/>
        <item x="0"/>
        <item t="default"/>
      </items>
    </pivotField>
  </pivotFields>
  <rowFields count="1">
    <field x="1"/>
  </rowFields>
  <rowItems count="3">
    <i>
      <x/>
    </i>
    <i>
      <x v="1"/>
    </i>
    <i t="grand">
      <x/>
    </i>
  </rowItems>
  <colFields count="1">
    <field x="27"/>
  </colFields>
  <colItems count="3">
    <i>
      <x/>
    </i>
    <i>
      <x v="1"/>
    </i>
    <i t="grand">
      <x/>
    </i>
  </colItems>
  <dataFields count="1">
    <dataField name="Count of id" fld="0" subtotal="count" baseField="27"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7" count="1" selected="0">
            <x v="1"/>
          </reference>
        </references>
      </pivotArea>
    </chartFormat>
    <chartFormat chart="2" format="6" series="1">
      <pivotArea type="data" outline="0" fieldPosition="0">
        <references count="2">
          <reference field="4294967294" count="1" selected="0">
            <x v="0"/>
          </reference>
          <reference field="27" count="1" selected="0">
            <x v="0"/>
          </reference>
        </references>
      </pivotArea>
    </chartFormat>
    <chartFormat chart="2" format="7" series="1">
      <pivotArea type="data" outline="0" fieldPosition="0">
        <references count="2">
          <reference field="4294967294" count="1" selected="0">
            <x v="0"/>
          </reference>
          <reference field="27" count="1" selected="0">
            <x v="1"/>
          </reference>
        </references>
      </pivotArea>
    </chartFormat>
    <chartFormat chart="0" format="4" series="1">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912452-C381-4E20-829D-A6587DDD707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G8" firstHeaderRow="1" firstDataRow="2" firstDataCol="1"/>
  <pivotFields count="28">
    <pivotField dataField="1" showAll="0"/>
    <pivotField axis="axisRow" showAll="0">
      <items count="3">
        <item x="0"/>
        <item x="1"/>
        <item t="default"/>
      </items>
    </pivotField>
    <pivotField numFmtId="165" showAll="0"/>
    <pivotField numFmtId="2"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axis="axisCol"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items count="6">
        <item x="1"/>
        <item x="4"/>
        <item x="3"/>
        <item x="2"/>
        <item x="0"/>
        <item t="default"/>
      </items>
    </pivotField>
    <pivotField showAll="0"/>
  </pivotFields>
  <rowFields count="1">
    <field x="1"/>
  </rowFields>
  <rowItems count="3">
    <i>
      <x/>
    </i>
    <i>
      <x v="1"/>
    </i>
    <i t="grand">
      <x/>
    </i>
  </rowItems>
  <colFields count="1">
    <field x="6"/>
  </colFields>
  <colItems count="6">
    <i>
      <x/>
    </i>
    <i>
      <x v="1"/>
    </i>
    <i>
      <x v="2"/>
    </i>
    <i>
      <x v="3"/>
    </i>
    <i>
      <x v="4"/>
    </i>
    <i t="grand">
      <x/>
    </i>
  </colItems>
  <dataFields count="1">
    <dataField name="Count of id" fld="0" subtotal="count" baseField="1"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F8AE6-CEF4-4D02-973A-5DA3EFB4D7D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5:U11" firstHeaderRow="1" firstDataRow="1" firstDataCol="1"/>
  <pivotFields count="28">
    <pivotField dataField="1" showAll="0"/>
    <pivotField showAll="0">
      <items count="3">
        <item x="0"/>
        <item x="1"/>
        <item t="default"/>
      </items>
    </pivotField>
    <pivotField numFmtId="165" showAll="0"/>
    <pivotField numFmtId="2"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axis="axisRow" showAll="0">
      <items count="6">
        <item x="1"/>
        <item x="4"/>
        <item x="3"/>
        <item x="2"/>
        <item x="0"/>
        <item t="default"/>
      </items>
    </pivotField>
    <pivotField showAll="0"/>
  </pivotFields>
  <rowFields count="1">
    <field x="26"/>
  </rowFields>
  <rowItems count="6">
    <i>
      <x/>
    </i>
    <i>
      <x v="1"/>
    </i>
    <i>
      <x v="2"/>
    </i>
    <i>
      <x v="3"/>
    </i>
    <i>
      <x v="4"/>
    </i>
    <i t="grand">
      <x/>
    </i>
  </rowItems>
  <colItems count="1">
    <i/>
  </colItems>
  <dataFields count="1">
    <dataField name="Count of id" fld="0" subtotal="count" baseField="26"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6" count="1" selected="0">
            <x v="0"/>
          </reference>
        </references>
      </pivotArea>
    </chartFormat>
    <chartFormat chart="2" format="9">
      <pivotArea type="data" outline="0" fieldPosition="0">
        <references count="2">
          <reference field="4294967294" count="1" selected="0">
            <x v="0"/>
          </reference>
          <reference field="26" count="1" selected="0">
            <x v="1"/>
          </reference>
        </references>
      </pivotArea>
    </chartFormat>
    <chartFormat chart="2" format="10">
      <pivotArea type="data" outline="0" fieldPosition="0">
        <references count="2">
          <reference field="4294967294" count="1" selected="0">
            <x v="0"/>
          </reference>
          <reference field="26" count="1" selected="0">
            <x v="2"/>
          </reference>
        </references>
      </pivotArea>
    </chartFormat>
    <chartFormat chart="2" format="11">
      <pivotArea type="data" outline="0" fieldPosition="0">
        <references count="2">
          <reference field="4294967294" count="1" selected="0">
            <x v="0"/>
          </reference>
          <reference field="26" count="1" selected="0">
            <x v="3"/>
          </reference>
        </references>
      </pivotArea>
    </chartFormat>
    <chartFormat chart="2" format="12">
      <pivotArea type="data" outline="0" fieldPosition="0">
        <references count="2">
          <reference field="4294967294" count="1" selected="0">
            <x v="0"/>
          </reference>
          <reference field="26" count="1" selected="0">
            <x v="4"/>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1"/>
          </reference>
        </references>
      </pivotArea>
    </chartFormat>
    <chartFormat chart="0" format="3">
      <pivotArea type="data" outline="0" fieldPosition="0">
        <references count="2">
          <reference field="4294967294" count="1" selected="0">
            <x v="0"/>
          </reference>
          <reference field="26" count="1" selected="0">
            <x v="2"/>
          </reference>
        </references>
      </pivotArea>
    </chartFormat>
    <chartFormat chart="0" format="4">
      <pivotArea type="data" outline="0" fieldPosition="0">
        <references count="2">
          <reference field="4294967294" count="1" selected="0">
            <x v="0"/>
          </reference>
          <reference field="26" count="1" selected="0">
            <x v="3"/>
          </reference>
        </references>
      </pivotArea>
    </chartFormat>
    <chartFormat chart="0" format="5">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3B174-AEDC-43C9-8D11-8F0B6366614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5" firstHeaderRow="1" firstDataRow="2" firstDataCol="1"/>
  <pivotFields count="28">
    <pivotField dataField="1" showAll="0"/>
    <pivotField axis="axisRow" showAll="0">
      <items count="3">
        <item x="0"/>
        <item x="1"/>
        <item t="default"/>
      </items>
    </pivotField>
    <pivotField numFmtId="165" showAll="0">
      <items count="975">
        <item x="269"/>
        <item x="439"/>
        <item x="331"/>
        <item x="143"/>
        <item x="173"/>
        <item x="688"/>
        <item x="185"/>
        <item x="567"/>
        <item x="116"/>
        <item x="220"/>
        <item x="215"/>
        <item x="564"/>
        <item x="736"/>
        <item x="595"/>
        <item x="201"/>
        <item x="674"/>
        <item x="381"/>
        <item x="861"/>
        <item x="793"/>
        <item x="171"/>
        <item x="485"/>
        <item x="818"/>
        <item x="805"/>
        <item x="912"/>
        <item x="241"/>
        <item x="574"/>
        <item x="480"/>
        <item x="413"/>
        <item x="802"/>
        <item x="958"/>
        <item x="48"/>
        <item x="510"/>
        <item x="820"/>
        <item x="551"/>
        <item x="920"/>
        <item x="590"/>
        <item x="308"/>
        <item x="44"/>
        <item x="612"/>
        <item x="175"/>
        <item x="658"/>
        <item x="769"/>
        <item x="466"/>
        <item x="615"/>
        <item x="786"/>
        <item x="282"/>
        <item x="179"/>
        <item x="261"/>
        <item x="883"/>
        <item x="534"/>
        <item x="842"/>
        <item x="525"/>
        <item x="225"/>
        <item x="950"/>
        <item x="635"/>
        <item x="33"/>
        <item x="103"/>
        <item x="268"/>
        <item x="663"/>
        <item x="721"/>
        <item x="428"/>
        <item x="128"/>
        <item x="60"/>
        <item x="501"/>
        <item x="259"/>
        <item x="796"/>
        <item x="652"/>
        <item x="928"/>
        <item x="772"/>
        <item x="86"/>
        <item x="321"/>
        <item x="713"/>
        <item x="152"/>
        <item x="782"/>
        <item x="172"/>
        <item x="961"/>
        <item x="112"/>
        <item x="888"/>
        <item x="154"/>
        <item x="1"/>
        <item x="868"/>
        <item x="57"/>
        <item x="646"/>
        <item x="217"/>
        <item x="547"/>
        <item x="778"/>
        <item x="415"/>
        <item x="762"/>
        <item x="454"/>
        <item x="749"/>
        <item x="205"/>
        <item x="945"/>
        <item x="759"/>
        <item x="118"/>
        <item x="589"/>
        <item x="8"/>
        <item x="552"/>
        <item x="89"/>
        <item x="200"/>
        <item x="367"/>
        <item x="80"/>
        <item x="747"/>
        <item x="377"/>
        <item x="916"/>
        <item x="819"/>
        <item x="467"/>
        <item x="298"/>
        <item x="826"/>
        <item x="846"/>
        <item x="598"/>
        <item x="219"/>
        <item x="960"/>
        <item x="843"/>
        <item x="475"/>
        <item x="65"/>
        <item x="254"/>
        <item x="479"/>
        <item x="405"/>
        <item x="523"/>
        <item x="194"/>
        <item x="605"/>
        <item x="218"/>
        <item x="393"/>
        <item x="553"/>
        <item x="50"/>
        <item x="895"/>
        <item x="680"/>
        <item x="502"/>
        <item x="767"/>
        <item x="593"/>
        <item x="560"/>
        <item x="490"/>
        <item x="929"/>
        <item x="49"/>
        <item x="461"/>
        <item x="706"/>
        <item x="271"/>
        <item x="3"/>
        <item x="758"/>
        <item x="356"/>
        <item x="100"/>
        <item x="361"/>
        <item x="349"/>
        <item x="667"/>
        <item x="531"/>
        <item x="38"/>
        <item x="307"/>
        <item x="575"/>
        <item x="406"/>
        <item x="4"/>
        <item x="258"/>
        <item x="733"/>
        <item x="617"/>
        <item x="472"/>
        <item x="585"/>
        <item x="53"/>
        <item x="202"/>
        <item x="917"/>
        <item x="36"/>
        <item x="260"/>
        <item x="295"/>
        <item x="964"/>
        <item x="430"/>
        <item x="78"/>
        <item x="482"/>
        <item x="939"/>
        <item x="745"/>
        <item x="45"/>
        <item x="129"/>
        <item x="375"/>
        <item x="704"/>
        <item x="121"/>
        <item x="341"/>
        <item x="606"/>
        <item x="169"/>
        <item x="492"/>
        <item x="676"/>
        <item x="703"/>
        <item x="734"/>
        <item x="899"/>
        <item x="882"/>
        <item x="554"/>
        <item x="914"/>
        <item x="824"/>
        <item x="166"/>
        <item x="239"/>
        <item x="81"/>
        <item x="959"/>
        <item x="299"/>
        <item x="32"/>
        <item x="927"/>
        <item x="558"/>
        <item x="810"/>
        <item x="332"/>
        <item x="287"/>
        <item x="773"/>
        <item x="204"/>
        <item x="284"/>
        <item x="600"/>
        <item x="714"/>
        <item x="770"/>
        <item x="64"/>
        <item x="657"/>
        <item x="441"/>
        <item x="723"/>
        <item x="207"/>
        <item x="277"/>
        <item x="463"/>
        <item x="896"/>
        <item x="909"/>
        <item x="666"/>
        <item x="452"/>
        <item x="700"/>
        <item x="2"/>
        <item x="571"/>
        <item x="420"/>
        <item x="741"/>
        <item x="93"/>
        <item x="784"/>
        <item x="10"/>
        <item x="746"/>
        <item x="388"/>
        <item x="290"/>
        <item x="334"/>
        <item x="692"/>
        <item x="816"/>
        <item x="614"/>
        <item x="251"/>
        <item x="37"/>
        <item x="563"/>
        <item x="698"/>
        <item x="117"/>
        <item x="878"/>
        <item x="918"/>
        <item x="879"/>
        <item x="489"/>
        <item x="95"/>
        <item x="119"/>
        <item x="313"/>
        <item x="851"/>
        <item x="140"/>
        <item x="92"/>
        <item x="328"/>
        <item x="649"/>
        <item x="809"/>
        <item x="373"/>
        <item x="836"/>
        <item x="870"/>
        <item x="969"/>
        <item x="971"/>
        <item x="584"/>
        <item x="487"/>
        <item x="594"/>
        <item x="669"/>
        <item x="845"/>
        <item x="407"/>
        <item x="369"/>
        <item x="88"/>
        <item x="885"/>
        <item x="621"/>
        <item x="195"/>
        <item x="267"/>
        <item x="153"/>
        <item x="660"/>
        <item x="829"/>
        <item x="549"/>
        <item x="900"/>
        <item x="387"/>
        <item x="548"/>
        <item x="716"/>
        <item x="662"/>
        <item x="696"/>
        <item x="447"/>
        <item x="344"/>
        <item x="608"/>
        <item x="421"/>
        <item x="718"/>
        <item x="191"/>
        <item x="833"/>
        <item x="340"/>
        <item x="230"/>
        <item x="526"/>
        <item x="797"/>
        <item x="184"/>
        <item x="966"/>
        <item x="342"/>
        <item x="766"/>
        <item x="592"/>
        <item x="654"/>
        <item x="214"/>
        <item x="253"/>
        <item x="930"/>
        <item x="453"/>
        <item x="104"/>
        <item x="436"/>
        <item x="18"/>
        <item x="804"/>
        <item x="795"/>
        <item x="801"/>
        <item x="459"/>
        <item x="555"/>
        <item x="339"/>
        <item x="611"/>
        <item x="545"/>
        <item x="702"/>
        <item x="391"/>
        <item x="672"/>
        <item x="229"/>
        <item x="546"/>
        <item x="16"/>
        <item x="670"/>
        <item x="263"/>
        <item x="350"/>
        <item x="187"/>
        <item x="550"/>
        <item x="625"/>
        <item x="418"/>
        <item x="245"/>
        <item x="538"/>
        <item x="357"/>
        <item x="353"/>
        <item x="862"/>
        <item x="170"/>
        <item x="609"/>
        <item x="760"/>
        <item x="904"/>
        <item x="435"/>
        <item x="957"/>
        <item x="266"/>
        <item x="874"/>
        <item x="873"/>
        <item x="188"/>
        <item x="162"/>
        <item x="604"/>
        <item x="683"/>
        <item x="15"/>
        <item x="411"/>
        <item x="505"/>
        <item x="838"/>
        <item x="941"/>
        <item x="779"/>
        <item x="30"/>
        <item x="309"/>
        <item x="724"/>
        <item x="146"/>
        <item x="147"/>
        <item x="968"/>
        <item x="529"/>
        <item x="137"/>
        <item x="756"/>
        <item x="264"/>
        <item x="336"/>
        <item x="602"/>
        <item x="877"/>
        <item x="872"/>
        <item x="693"/>
        <item x="755"/>
        <item x="753"/>
        <item x="69"/>
        <item x="59"/>
        <item x="544"/>
        <item x="79"/>
        <item x="312"/>
        <item x="291"/>
        <item x="572"/>
        <item x="346"/>
        <item x="345"/>
        <item x="168"/>
        <item x="659"/>
        <item x="690"/>
        <item x="300"/>
        <item x="72"/>
        <item x="213"/>
        <item x="694"/>
        <item x="597"/>
        <item x="46"/>
        <item x="13"/>
        <item x="234"/>
        <item x="440"/>
        <item x="499"/>
        <item x="25"/>
        <item x="41"/>
        <item x="750"/>
        <item x="542"/>
        <item x="326"/>
        <item x="832"/>
        <item x="561"/>
        <item x="14"/>
        <item x="848"/>
        <item x="673"/>
        <item x="130"/>
        <item x="789"/>
        <item x="889"/>
        <item x="898"/>
        <item x="708"/>
        <item x="962"/>
        <item x="306"/>
        <item x="433"/>
        <item x="35"/>
        <item x="98"/>
        <item x="294"/>
        <item x="417"/>
        <item x="384"/>
        <item x="216"/>
        <item x="715"/>
        <item x="464"/>
        <item x="359"/>
        <item x="924"/>
        <item x="865"/>
        <item x="603"/>
        <item x="520"/>
        <item x="781"/>
        <item x="372"/>
        <item x="774"/>
        <item x="77"/>
        <item x="122"/>
        <item x="102"/>
        <item x="739"/>
        <item x="68"/>
        <item x="936"/>
        <item x="722"/>
        <item x="568"/>
        <item x="115"/>
        <item x="948"/>
        <item x="830"/>
        <item x="108"/>
        <item x="442"/>
        <item x="588"/>
        <item x="392"/>
        <item x="720"/>
        <item x="915"/>
        <item x="324"/>
        <item x="737"/>
        <item x="559"/>
        <item x="849"/>
        <item x="469"/>
        <item x="965"/>
        <item x="368"/>
        <item x="881"/>
        <item x="513"/>
        <item x="19"/>
        <item x="483"/>
        <item x="579"/>
        <item x="695"/>
        <item x="764"/>
        <item x="955"/>
        <item x="275"/>
        <item x="806"/>
        <item x="127"/>
        <item x="303"/>
        <item x="27"/>
        <item x="84"/>
        <item x="355"/>
        <item x="351"/>
        <item x="954"/>
        <item x="257"/>
        <item x="250"/>
        <item x="314"/>
        <item x="262"/>
        <item x="841"/>
        <item x="165"/>
        <item x="913"/>
        <item x="655"/>
        <item x="190"/>
        <item x="729"/>
        <item x="840"/>
        <item x="935"/>
        <item x="514"/>
        <item x="347"/>
        <item x="227"/>
        <item x="138"/>
        <item x="424"/>
        <item x="822"/>
        <item x="524"/>
        <item x="304"/>
        <item x="426"/>
        <item x="562"/>
        <item x="224"/>
        <item x="91"/>
        <item x="133"/>
        <item x="583"/>
        <item x="919"/>
        <item x="408"/>
        <item x="947"/>
        <item x="869"/>
        <item x="451"/>
        <item x="427"/>
        <item x="516"/>
        <item x="576"/>
        <item x="110"/>
        <item x="62"/>
        <item x="791"/>
        <item x="448"/>
        <item x="446"/>
        <item x="12"/>
        <item x="677"/>
        <item x="293"/>
        <item x="437"/>
        <item x="890"/>
        <item x="113"/>
        <item x="319"/>
        <item x="710"/>
        <item x="197"/>
        <item x="6"/>
        <item x="886"/>
        <item x="70"/>
        <item x="790"/>
        <item x="777"/>
        <item x="276"/>
        <item x="905"/>
        <item x="827"/>
        <item x="395"/>
        <item x="410"/>
        <item x="409"/>
        <item x="825"/>
        <item x="161"/>
        <item x="754"/>
        <item x="150"/>
        <item x="857"/>
        <item x="776"/>
        <item x="320"/>
        <item x="599"/>
        <item x="823"/>
        <item x="96"/>
        <item x="82"/>
        <item x="859"/>
        <item x="429"/>
        <item x="364"/>
        <item x="61"/>
        <item x="164"/>
        <item x="620"/>
        <item x="42"/>
        <item x="305"/>
        <item x="371"/>
        <item x="751"/>
        <item x="705"/>
        <item x="536"/>
        <item x="780"/>
        <item x="821"/>
        <item x="493"/>
        <item x="803"/>
        <item x="577"/>
        <item x="390"/>
        <item x="738"/>
        <item x="949"/>
        <item x="247"/>
        <item x="73"/>
        <item x="455"/>
        <item x="937"/>
        <item x="365"/>
        <item x="527"/>
        <item x="362"/>
        <item x="624"/>
        <item x="43"/>
        <item x="51"/>
        <item x="478"/>
        <item x="681"/>
        <item x="484"/>
        <item x="697"/>
        <item x="647"/>
        <item x="811"/>
        <item x="707"/>
        <item x="74"/>
        <item x="794"/>
        <item x="180"/>
        <item x="270"/>
        <item x="28"/>
        <item x="85"/>
        <item x="503"/>
        <item x="210"/>
        <item x="907"/>
        <item x="400"/>
        <item x="518"/>
        <item x="0"/>
        <item x="566"/>
        <item x="132"/>
        <item x="788"/>
        <item x="500"/>
        <item x="443"/>
        <item x="233"/>
        <item x="685"/>
        <item x="243"/>
        <item x="325"/>
        <item x="432"/>
        <item x="728"/>
        <item x="867"/>
        <item x="752"/>
        <item x="712"/>
        <item x="11"/>
        <item x="151"/>
        <item x="333"/>
        <item x="963"/>
        <item x="626"/>
        <item x="645"/>
        <item x="21"/>
        <item x="743"/>
        <item x="578"/>
        <item x="783"/>
        <item x="47"/>
        <item x="765"/>
        <item x="530"/>
        <item x="20"/>
        <item x="629"/>
        <item x="416"/>
        <item x="386"/>
        <item x="481"/>
        <item x="580"/>
        <item x="477"/>
        <item x="942"/>
        <item x="316"/>
        <item x="289"/>
        <item x="286"/>
        <item x="401"/>
        <item x="379"/>
        <item x="318"/>
        <item x="148"/>
        <item x="586"/>
        <item x="376"/>
        <item x="521"/>
        <item x="301"/>
        <item x="337"/>
        <item x="378"/>
        <item x="382"/>
        <item x="640"/>
        <item x="465"/>
        <item x="834"/>
        <item x="438"/>
        <item x="944"/>
        <item x="425"/>
        <item x="370"/>
        <item x="650"/>
        <item x="449"/>
        <item x="211"/>
        <item x="354"/>
        <item x="837"/>
        <item x="274"/>
        <item x="507"/>
        <item x="457"/>
        <item x="279"/>
        <item x="787"/>
        <item x="636"/>
        <item x="634"/>
        <item x="671"/>
        <item x="632"/>
        <item x="813"/>
        <item x="701"/>
        <item x="839"/>
        <item x="627"/>
        <item x="771"/>
        <item x="54"/>
        <item x="610"/>
        <item x="761"/>
        <item x="533"/>
        <item x="101"/>
        <item x="31"/>
        <item x="515"/>
        <item x="159"/>
        <item x="923"/>
        <item x="775"/>
        <item x="613"/>
        <item x="9"/>
        <item x="668"/>
        <item x="887"/>
        <item x="828"/>
        <item x="876"/>
        <item x="474"/>
        <item x="639"/>
        <item x="222"/>
        <item x="686"/>
        <item x="892"/>
        <item x="246"/>
        <item x="244"/>
        <item x="858"/>
        <item x="223"/>
        <item x="952"/>
        <item x="691"/>
        <item x="864"/>
        <item x="317"/>
        <item x="177"/>
        <item x="330"/>
        <item x="498"/>
        <item x="506"/>
        <item x="817"/>
        <item x="292"/>
        <item x="661"/>
        <item x="176"/>
        <item x="972"/>
        <item x="903"/>
        <item x="717"/>
        <item x="470"/>
        <item x="891"/>
        <item x="297"/>
        <item x="431"/>
        <item x="508"/>
        <item x="56"/>
        <item x="630"/>
        <item x="363"/>
        <item x="212"/>
        <item x="193"/>
        <item x="852"/>
        <item x="906"/>
        <item x="228"/>
        <item x="460"/>
        <item x="925"/>
        <item x="902"/>
        <item x="265"/>
        <item x="255"/>
        <item x="403"/>
        <item x="946"/>
        <item x="157"/>
        <item x="107"/>
        <item x="141"/>
        <item x="471"/>
        <item x="687"/>
        <item x="335"/>
        <item x="120"/>
        <item x="419"/>
        <item x="66"/>
        <item x="63"/>
        <item x="641"/>
        <item x="158"/>
        <item x="844"/>
        <item x="55"/>
        <item x="540"/>
        <item x="402"/>
        <item x="323"/>
        <item x="618"/>
        <item x="509"/>
        <item x="926"/>
        <item x="29"/>
        <item x="570"/>
        <item x="280"/>
        <item x="856"/>
        <item x="99"/>
        <item x="921"/>
        <item x="327"/>
        <item x="90"/>
        <item x="131"/>
        <item x="934"/>
        <item x="252"/>
        <item x="134"/>
        <item x="366"/>
        <item x="278"/>
        <item x="236"/>
        <item x="343"/>
        <item x="106"/>
        <item x="623"/>
        <item x="956"/>
        <item x="360"/>
        <item x="619"/>
        <item x="237"/>
        <item x="302"/>
        <item x="539"/>
        <item x="815"/>
        <item x="725"/>
        <item x="7"/>
        <item x="799"/>
        <item x="768"/>
        <item x="468"/>
        <item x="742"/>
        <item x="763"/>
        <item x="283"/>
        <item x="163"/>
        <item x="155"/>
        <item x="109"/>
        <item x="34"/>
        <item x="871"/>
        <item x="285"/>
        <item x="75"/>
        <item x="67"/>
        <item x="52"/>
        <item x="156"/>
        <item x="522"/>
        <item x="136"/>
        <item x="730"/>
        <item x="396"/>
        <item x="414"/>
        <item x="581"/>
        <item x="126"/>
        <item x="404"/>
        <item x="238"/>
        <item x="235"/>
        <item x="684"/>
        <item x="203"/>
        <item x="495"/>
        <item x="383"/>
        <item x="863"/>
        <item x="504"/>
        <item x="26"/>
        <item x="711"/>
        <item x="792"/>
        <item x="726"/>
        <item x="149"/>
        <item x="932"/>
        <item x="476"/>
        <item x="744"/>
        <item x="699"/>
        <item x="232"/>
        <item x="208"/>
        <item x="97"/>
        <item x="174"/>
        <item x="221"/>
        <item x="338"/>
        <item x="494"/>
        <item x="631"/>
        <item x="628"/>
        <item x="675"/>
        <item x="39"/>
        <item x="709"/>
        <item x="866"/>
        <item x="807"/>
        <item x="808"/>
        <item x="458"/>
        <item x="973"/>
        <item x="601"/>
        <item x="785"/>
        <item x="894"/>
        <item x="206"/>
        <item x="249"/>
        <item x="445"/>
        <item x="922"/>
        <item x="444"/>
        <item x="573"/>
        <item x="83"/>
        <item x="240"/>
        <item x="644"/>
        <item x="248"/>
        <item x="543"/>
        <item x="528"/>
        <item x="651"/>
        <item x="183"/>
        <item x="798"/>
        <item x="160"/>
        <item x="967"/>
        <item x="358"/>
        <item x="226"/>
        <item x="394"/>
        <item x="71"/>
        <item x="557"/>
        <item x="596"/>
        <item x="633"/>
        <item x="76"/>
        <item x="847"/>
        <item x="256"/>
        <item x="389"/>
        <item x="397"/>
        <item x="511"/>
        <item x="58"/>
        <item x="288"/>
        <item x="732"/>
        <item x="622"/>
        <item x="209"/>
        <item x="831"/>
        <item x="352"/>
        <item x="242"/>
        <item x="497"/>
        <item x="412"/>
        <item x="486"/>
        <item x="682"/>
        <item x="398"/>
        <item x="519"/>
        <item x="380"/>
        <item x="310"/>
        <item x="142"/>
        <item x="875"/>
        <item x="953"/>
        <item x="740"/>
        <item x="450"/>
        <item x="719"/>
        <item x="569"/>
        <item x="40"/>
        <item x="556"/>
        <item x="423"/>
        <item x="565"/>
        <item x="812"/>
        <item x="607"/>
        <item x="24"/>
        <item x="87"/>
        <item x="951"/>
        <item x="970"/>
        <item x="198"/>
        <item x="111"/>
        <item x="727"/>
        <item x="587"/>
        <item x="689"/>
        <item x="855"/>
        <item x="910"/>
        <item x="348"/>
        <item x="456"/>
        <item x="582"/>
        <item x="5"/>
        <item x="135"/>
        <item x="329"/>
        <item x="908"/>
        <item x="800"/>
        <item x="517"/>
        <item x="399"/>
        <item x="125"/>
        <item x="748"/>
        <item x="940"/>
        <item x="591"/>
        <item x="664"/>
        <item x="653"/>
        <item x="311"/>
        <item x="880"/>
        <item x="853"/>
        <item x="23"/>
        <item x="462"/>
        <item x="181"/>
        <item x="139"/>
        <item x="374"/>
        <item x="835"/>
        <item x="473"/>
        <item x="933"/>
        <item x="196"/>
        <item x="814"/>
        <item x="273"/>
        <item x="665"/>
        <item x="124"/>
        <item x="422"/>
        <item x="144"/>
        <item x="182"/>
        <item x="637"/>
        <item x="850"/>
        <item x="123"/>
        <item x="145"/>
        <item x="931"/>
        <item x="643"/>
        <item x="114"/>
        <item x="231"/>
        <item x="638"/>
        <item x="860"/>
        <item x="167"/>
        <item x="22"/>
        <item x="178"/>
        <item x="512"/>
        <item x="496"/>
        <item x="911"/>
        <item x="281"/>
        <item x="897"/>
        <item x="938"/>
        <item x="616"/>
        <item x="656"/>
        <item x="17"/>
        <item x="731"/>
        <item x="679"/>
        <item x="541"/>
        <item x="943"/>
        <item x="272"/>
        <item x="893"/>
        <item x="296"/>
        <item x="678"/>
        <item x="901"/>
        <item x="189"/>
        <item x="322"/>
        <item x="648"/>
        <item x="535"/>
        <item x="434"/>
        <item x="854"/>
        <item x="315"/>
        <item x="757"/>
        <item x="884"/>
        <item x="186"/>
        <item x="94"/>
        <item x="192"/>
        <item x="735"/>
        <item x="488"/>
        <item x="532"/>
        <item x="105"/>
        <item x="199"/>
        <item x="385"/>
        <item x="642"/>
        <item x="491"/>
        <item x="537"/>
        <item t="default"/>
      </items>
    </pivotField>
    <pivotField numFmtId="2"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axis="axisCol" showAll="0">
      <items count="3">
        <item x="0"/>
        <item x="1"/>
        <item t="default"/>
      </items>
    </pivotField>
    <pivotField showAll="0">
      <items count="6">
        <item x="1"/>
        <item x="4"/>
        <item x="3"/>
        <item x="2"/>
        <item x="0"/>
        <item t="default"/>
      </items>
    </pivotField>
    <pivotField showAll="0"/>
  </pivotFields>
  <rowFields count="1">
    <field x="1"/>
  </rowFields>
  <rowItems count="3">
    <i>
      <x/>
    </i>
    <i>
      <x v="1"/>
    </i>
    <i t="grand">
      <x/>
    </i>
  </rowItems>
  <colFields count="1">
    <field x="25"/>
  </colFields>
  <colItems count="3">
    <i>
      <x/>
    </i>
    <i>
      <x v="1"/>
    </i>
    <i t="grand">
      <x/>
    </i>
  </colItems>
  <dataFields count="1">
    <dataField name="Count of id" fld="0" subtotal="count" baseField="25" baseItem="0"/>
  </dataFields>
  <chartFormats count="4">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2" format="4" series="1">
      <pivotArea type="data" outline="0" fieldPosition="0">
        <references count="2">
          <reference field="4294967294" count="1" selected="0">
            <x v="0"/>
          </reference>
          <reference field="25" count="1" selected="0">
            <x v="0"/>
          </reference>
        </references>
      </pivotArea>
    </chartFormat>
    <chartFormat chart="2" format="5" series="1">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CED48C-8E82-4F57-85EF-3C0E6A84B57B}"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Average time in Gym">
  <location ref="A4:B16" firstHeaderRow="1" firstDataRow="1" firstDataCol="1"/>
  <pivotFields count="28">
    <pivotField dataField="1" showAll="0"/>
    <pivotField showAll="0">
      <items count="3">
        <item x="0"/>
        <item x="1"/>
        <item t="default"/>
      </items>
    </pivotField>
    <pivotField numFmtId="165" showAll="0"/>
    <pivotField numFmtId="2" showAll="0">
      <items count="40">
        <item x="37"/>
        <item x="35"/>
        <item x="14"/>
        <item x="17"/>
        <item x="5"/>
        <item x="24"/>
        <item x="31"/>
        <item x="23"/>
        <item x="18"/>
        <item x="7"/>
        <item x="19"/>
        <item x="29"/>
        <item x="30"/>
        <item x="8"/>
        <item x="38"/>
        <item x="9"/>
        <item x="0"/>
        <item x="26"/>
        <item x="25"/>
        <item x="6"/>
        <item x="34"/>
        <item x="16"/>
        <item x="32"/>
        <item x="11"/>
        <item x="10"/>
        <item x="12"/>
        <item x="13"/>
        <item x="15"/>
        <item x="33"/>
        <item x="22"/>
        <item x="2"/>
        <item x="20"/>
        <item x="4"/>
        <item x="3"/>
        <item x="28"/>
        <item x="1"/>
        <item x="21"/>
        <item x="27"/>
        <item x="3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axis="axisRow" showAll="0" measureFilter="1" sortType="descending">
      <items count="152">
        <item x="5"/>
        <item x="120"/>
        <item x="80"/>
        <item x="56"/>
        <item x="100"/>
        <item x="37"/>
        <item x="90"/>
        <item x="65"/>
        <item x="72"/>
        <item x="132"/>
        <item x="52"/>
        <item x="76"/>
        <item x="104"/>
        <item x="17"/>
        <item x="57"/>
        <item x="54"/>
        <item x="130"/>
        <item x="61"/>
        <item x="44"/>
        <item x="15"/>
        <item x="21"/>
        <item x="31"/>
        <item x="12"/>
        <item x="147"/>
        <item x="78"/>
        <item x="142"/>
        <item x="20"/>
        <item x="117"/>
        <item x="150"/>
        <item x="85"/>
        <item x="98"/>
        <item x="18"/>
        <item x="146"/>
        <item x="51"/>
        <item x="19"/>
        <item x="14"/>
        <item x="9"/>
        <item x="83"/>
        <item x="36"/>
        <item x="113"/>
        <item x="74"/>
        <item x="136"/>
        <item x="102"/>
        <item x="40"/>
        <item x="39"/>
        <item x="33"/>
        <item x="145"/>
        <item x="108"/>
        <item x="121"/>
        <item x="95"/>
        <item x="28"/>
        <item x="141"/>
        <item x="119"/>
        <item x="144"/>
        <item x="70"/>
        <item x="62"/>
        <item x="129"/>
        <item x="2"/>
        <item x="47"/>
        <item x="134"/>
        <item x="116"/>
        <item x="16"/>
        <item x="24"/>
        <item x="73"/>
        <item x="0"/>
        <item x="103"/>
        <item x="25"/>
        <item x="135"/>
        <item x="22"/>
        <item x="148"/>
        <item x="97"/>
        <item x="92"/>
        <item x="84"/>
        <item x="34"/>
        <item x="67"/>
        <item x="94"/>
        <item x="79"/>
        <item x="60"/>
        <item x="23"/>
        <item x="133"/>
        <item x="89"/>
        <item x="3"/>
        <item x="29"/>
        <item x="124"/>
        <item x="126"/>
        <item x="7"/>
        <item x="68"/>
        <item x="41"/>
        <item x="8"/>
        <item x="26"/>
        <item x="140"/>
        <item x="118"/>
        <item x="58"/>
        <item x="38"/>
        <item x="30"/>
        <item x="87"/>
        <item x="63"/>
        <item x="88"/>
        <item x="42"/>
        <item x="27"/>
        <item x="137"/>
        <item x="32"/>
        <item x="106"/>
        <item x="71"/>
        <item x="128"/>
        <item x="125"/>
        <item x="131"/>
        <item x="86"/>
        <item x="109"/>
        <item x="45"/>
        <item x="96"/>
        <item x="43"/>
        <item x="48"/>
        <item x="82"/>
        <item x="66"/>
        <item x="93"/>
        <item x="101"/>
        <item x="143"/>
        <item x="6"/>
        <item x="13"/>
        <item x="127"/>
        <item x="112"/>
        <item x="35"/>
        <item x="50"/>
        <item x="81"/>
        <item x="138"/>
        <item x="55"/>
        <item x="69"/>
        <item x="59"/>
        <item x="123"/>
        <item x="4"/>
        <item x="64"/>
        <item x="1"/>
        <item x="99"/>
        <item x="149"/>
        <item x="139"/>
        <item x="122"/>
        <item x="53"/>
        <item x="75"/>
        <item x="110"/>
        <item x="77"/>
        <item x="115"/>
        <item x="114"/>
        <item x="91"/>
        <item x="10"/>
        <item x="49"/>
        <item x="107"/>
        <item x="11"/>
        <item x="105"/>
        <item x="111"/>
        <item x="46"/>
        <item t="default"/>
      </items>
    </pivotField>
    <pivotField showAll="0"/>
    <pivotField showAll="0"/>
    <pivotField showAll="0"/>
    <pivotField showAll="0"/>
    <pivotField showAll="0"/>
    <pivotField showAll="0">
      <items count="6">
        <item x="1"/>
        <item x="4"/>
        <item x="3"/>
        <item x="2"/>
        <item x="0"/>
        <item t="default"/>
      </items>
    </pivotField>
    <pivotField showAll="0"/>
  </pivotFields>
  <rowFields count="1">
    <field x="20"/>
  </rowFields>
  <rowItems count="12">
    <i>
      <x v="19"/>
    </i>
    <i>
      <x v="24"/>
    </i>
    <i>
      <x v="31"/>
    </i>
    <i>
      <x v="39"/>
    </i>
    <i>
      <x v="42"/>
    </i>
    <i>
      <x v="45"/>
    </i>
    <i>
      <x v="73"/>
    </i>
    <i>
      <x v="75"/>
    </i>
    <i>
      <x v="87"/>
    </i>
    <i>
      <x v="113"/>
    </i>
    <i>
      <x v="124"/>
    </i>
    <i t="grand">
      <x/>
    </i>
  </rowItems>
  <colItems count="1">
    <i/>
  </colItems>
  <dataFields count="1">
    <dataField name="Number of customers" fld="0" subtotal="count" baseField="2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64093B-0CA1-4F6F-85F4-BF97ED2C9C1B}" autoFormatId="16" applyNumberFormats="0" applyBorderFormats="0" applyFontFormats="0" applyPatternFormats="0" applyAlignmentFormats="0" applyWidthHeightFormats="0">
  <queryTableRefresh nextId="41">
    <queryTableFields count="28">
      <queryTableField id="1" name="id" tableColumnId="1"/>
      <queryTableField id="2" name="gender" tableColumnId="2"/>
      <queryTableField id="3" name="birthday" tableColumnId="3"/>
      <queryTableField id="18" dataBound="0" tableColumnId="18"/>
      <queryTableField id="4" name="Age" tableColumnId="4"/>
      <queryTableField id="5" name="abonoment_type" tableColumnId="5"/>
      <queryTableField id="6" name="visit_per_week" tableColumnId="6"/>
      <queryTableField id="7" name="days_per_week" tableColumnId="7"/>
      <queryTableField id="26" dataBound="0" tableColumnId="26"/>
      <queryTableField id="25" dataBound="0" tableColumnId="25"/>
      <queryTableField id="24" dataBound="0" tableColumnId="24"/>
      <queryTableField id="23" dataBound="0" tableColumnId="23"/>
      <queryTableField id="22" dataBound="0" tableColumnId="22"/>
      <queryTableField id="8" name="attend_group_lesson" tableColumnId="8"/>
      <queryTableField id="31" dataBound="0" tableColumnId="31"/>
      <queryTableField id="9" name="fav_group_lesson" tableColumnId="9"/>
      <queryTableField id="40" dataBound="0" tableColumnId="39"/>
      <queryTableField id="30" dataBound="0" tableColumnId="30"/>
      <queryTableField id="10" name="avg_time_check_in" tableColumnId="10"/>
      <queryTableField id="11" name="avg_time_check_out" tableColumnId="11"/>
      <queryTableField id="12" name="avg_time_in_gym" tableColumnId="12"/>
      <queryTableField id="13" name="drink_abo" tableColumnId="13"/>
      <queryTableField id="38" dataBound="0" tableColumnId="37"/>
      <queryTableField id="14" name="fav_drink" tableColumnId="14"/>
      <queryTableField id="39" dataBound="0" tableColumnId="38"/>
      <queryTableField id="15" name="personal_training" tableColumnId="15"/>
      <queryTableField id="16" name="name_personal_trainer" tableColumnId="16"/>
      <queryTableField id="17" name="uses_sauna"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759A0A-23DE-42EB-83CA-EC945FC0787A}" sourceName="gender">
  <pivotTables>
    <pivotTable tabId="4" name="PivotTable17"/>
    <pivotTable tabId="4" name="PivotTable18"/>
    <pivotTable tabId="5" name="PivotTable19"/>
    <pivotTable tabId="5" name="PivotTable20"/>
    <pivotTable tabId="5" name="PivotTable24"/>
    <pivotTable tabId="6" name="PivotTable21"/>
    <pivotTable tabId="6" name="PivotTable22"/>
    <pivotTable tabId="6" name="PivotTable23"/>
  </pivotTables>
  <data>
    <tabular pivotCacheId="10684892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FD64FAE-2844-40E4-87F1-607FE36FDDBD}" sourceName="Age">
  <pivotTables>
    <pivotTable tabId="4" name="PivotTable17"/>
    <pivotTable tabId="4" name="PivotTable18"/>
    <pivotTable tabId="5" name="PivotTable19"/>
    <pivotTable tabId="5" name="PivotTable20"/>
    <pivotTable tabId="5" name="PivotTable24"/>
    <pivotTable tabId="6" name="PivotTable21"/>
    <pivotTable tabId="6" name="PivotTable22"/>
    <pivotTable tabId="6" name="PivotTable23"/>
  </pivotTables>
  <data>
    <tabular pivotCacheId="1068489283">
      <items count="39">
        <i x="37" s="1"/>
        <i x="35" s="1"/>
        <i x="14" s="1"/>
        <i x="17" s="1"/>
        <i x="5" s="1"/>
        <i x="24" s="1"/>
        <i x="31" s="1"/>
        <i x="23" s="1"/>
        <i x="18" s="1"/>
        <i x="7" s="1"/>
        <i x="19" s="1"/>
        <i x="29" s="1"/>
        <i x="30" s="1"/>
        <i x="8" s="1"/>
        <i x="38" s="1"/>
        <i x="9" s="1"/>
        <i x="0" s="1"/>
        <i x="26" s="1"/>
        <i x="25" s="1"/>
        <i x="6" s="1"/>
        <i x="34" s="1"/>
        <i x="16" s="1"/>
        <i x="32" s="1"/>
        <i x="11" s="1"/>
        <i x="10" s="1"/>
        <i x="12" s="1"/>
        <i x="13" s="1"/>
        <i x="15" s="1"/>
        <i x="33" s="1"/>
        <i x="22" s="1"/>
        <i x="2" s="1"/>
        <i x="20" s="1"/>
        <i x="4" s="1"/>
        <i x="3" s="1"/>
        <i x="28" s="1"/>
        <i x="1" s="1"/>
        <i x="21" s="1"/>
        <i x="27" s="1"/>
        <i x="3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onoment_type" xr10:uid="{CA2DEB11-1778-4D47-8447-AC1A40736A55}" sourceName="abonoment_type">
  <pivotTables>
    <pivotTable tabId="4" name="PivotTable17"/>
    <pivotTable tabId="4" name="PivotTable18"/>
    <pivotTable tabId="5" name="PivotTable19"/>
    <pivotTable tabId="5" name="PivotTable20"/>
    <pivotTable tabId="5" name="PivotTable24"/>
    <pivotTable tabId="6" name="PivotTable21"/>
    <pivotTable tabId="6" name="PivotTable22"/>
    <pivotTable tabId="6" name="PivotTable23"/>
  </pivotTables>
  <data>
    <tabular pivotCacheId="10684892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personal_trainer" xr10:uid="{CC5FD21D-6533-4582-926B-B214C76716AD}" sourceName="name_personal_trainer">
  <pivotTables>
    <pivotTable tabId="4" name="PivotTable17"/>
    <pivotTable tabId="4" name="PivotTable18"/>
    <pivotTable tabId="5" name="PivotTable19"/>
    <pivotTable tabId="5" name="PivotTable20"/>
    <pivotTable tabId="5" name="PivotTable24"/>
    <pivotTable tabId="6" name="PivotTable21"/>
    <pivotTable tabId="6" name="PivotTable22"/>
    <pivotTable tabId="6" name="PivotTable23"/>
  </pivotTables>
  <data>
    <tabular pivotCacheId="1068489283">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6572BD-2AB4-4893-A384-F5BA9C5C6A4D}" cache="Slicer_gender" caption="gender" rowHeight="257175"/>
  <slicer name="Age" xr10:uid="{E679F5FD-36AF-43E4-AD41-8AE927E61CE9}" cache="Slicer_Age" caption="Age" columnCount="3" rowHeight="257175"/>
  <slicer name="abonoment_type" xr10:uid="{FE8EA495-DA33-4C7F-84BE-0E7B41A5586B}" cache="Slicer_abonoment_type" caption="abonoment_type" rowHeight="257175"/>
  <slicer name="name_personal_trainer" xr10:uid="{2C500C4A-2419-4158-8DBB-331E60D7FA73}" cache="Slicer_name_personal_trainer" caption="name_personal_train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80CE58-27BE-4392-8382-04EF3B0837A3}" name="gym_membership" displayName="gym_membership" ref="A1:AB1001" tableType="queryTable" totalsRowShown="0">
  <autoFilter ref="A1:AB1001" xr:uid="{7C80CE58-27BE-4392-8382-04EF3B0837A3}"/>
  <tableColumns count="28">
    <tableColumn id="1" xr3:uid="{793062FA-0934-4758-947F-00A124017229}" uniqueName="1" name="id" queryTableFieldId="1"/>
    <tableColumn id="2" xr3:uid="{BCF29EDF-7433-4145-B87B-C41934916F00}" uniqueName="2" name="gender" queryTableFieldId="2" dataDxfId="19"/>
    <tableColumn id="3" xr3:uid="{BE78042A-2E55-4382-A867-0D5868F2A11A}" uniqueName="3" name="birthday" queryTableFieldId="3" dataDxfId="18"/>
    <tableColumn id="18" xr3:uid="{93329862-BA06-422F-905A-72E582D598E6}" uniqueName="18" name="Age" queryTableFieldId="18" dataDxfId="17">
      <calculatedColumnFormula>DATEDIF(gym_membership[[#This Row],[birthday]],TODAY(),"y")</calculatedColumnFormula>
    </tableColumn>
    <tableColumn id="4" xr3:uid="{299075C0-4CA7-4B63-AF66-DD8B1023AAAD}" uniqueName="4" name="Age2" queryTableFieldId="4"/>
    <tableColumn id="5" xr3:uid="{48A2DAC3-0901-455A-9679-0EADC2D1BF7F}" uniqueName="5" name="abonoment_type" queryTableFieldId="5" dataDxfId="16"/>
    <tableColumn id="6" xr3:uid="{6DE0808D-006A-4E81-A20A-2FA62FD3F9F0}" uniqueName="6" name="visit_per_week" queryTableFieldId="6"/>
    <tableColumn id="7" xr3:uid="{335147D0-13BB-4B43-A8DF-FE52B5CF3F41}" uniqueName="7" name="days_per_week" queryTableFieldId="7" dataDxfId="15"/>
    <tableColumn id="26" xr3:uid="{453A4CC5-4540-4F64-B587-EAF0BB2045A2}" uniqueName="26" name="Day 1" queryTableFieldId="26" dataDxfId="14"/>
    <tableColumn id="25" xr3:uid="{46BB16FC-696C-482C-87F8-D50411F7DA8C}" uniqueName="25" name="Day 2" queryTableFieldId="25" dataDxfId="13"/>
    <tableColumn id="24" xr3:uid="{54321D42-84F1-4D35-9D89-D31BA086D66A}" uniqueName="24" name="Day 3" queryTableFieldId="24" dataDxfId="12"/>
    <tableColumn id="23" xr3:uid="{EBAE2495-6B0D-4CE9-977B-C8CEC4BAC12C}" uniqueName="23" name="Day 4" queryTableFieldId="23" dataDxfId="11"/>
    <tableColumn id="22" xr3:uid="{164F1BF0-AA90-4162-B86F-358630A942C2}" uniqueName="22" name="Day 5" queryTableFieldId="22" dataDxfId="10"/>
    <tableColumn id="8" xr3:uid="{FB95B180-BE1F-4C8B-A69A-D167A05C38D2}" uniqueName="8" name="attend_group_lesson" queryTableFieldId="8"/>
    <tableColumn id="31" xr3:uid="{BAEA42F6-DD24-4A24-A767-C98493144B7B}" uniqueName="31" name="fav_group_lesson" queryTableFieldId="31" dataDxfId="9"/>
    <tableColumn id="9" xr3:uid="{6D13F7A0-E627-4910-9ABE-E84F6A9415EE}" uniqueName="9" name="fav_group_lesson1" queryTableFieldId="9" dataDxfId="8"/>
    <tableColumn id="39" xr3:uid="{C14908ED-4979-4428-AF96-C9048D75ECA9}" uniqueName="39" name="fav_group_lesson2" queryTableFieldId="40" dataDxfId="7"/>
    <tableColumn id="30" xr3:uid="{501732CF-5671-4178-A13C-6A75F51A2A26}" uniqueName="30" name="fav_group_lesson3" queryTableFieldId="30" dataDxfId="6"/>
    <tableColumn id="10" xr3:uid="{64FC4CC3-8E26-4F65-8A4D-555B65EBFC71}" uniqueName="10" name="avg_time_check_in" queryTableFieldId="10" dataDxfId="5"/>
    <tableColumn id="11" xr3:uid="{1F2EA560-13AF-4162-B3CC-90E0D8E01432}" uniqueName="11" name="avg_time_check_out" queryTableFieldId="11" dataDxfId="4"/>
    <tableColumn id="12" xr3:uid="{8A94ECB6-4C18-462C-B6D3-C4FB1D83C1FD}" uniqueName="12" name="avg_time_in_gym" queryTableFieldId="12"/>
    <tableColumn id="13" xr3:uid="{9232029D-6021-4E5A-87F0-06FA9F3D0750}" uniqueName="13" name="drink_abo" queryTableFieldId="13"/>
    <tableColumn id="37" xr3:uid="{0C6D3E88-6276-4A10-94B3-C8232637C806}" uniqueName="37" name="fav_drink" queryTableFieldId="38" dataDxfId="3"/>
    <tableColumn id="14" xr3:uid="{A2601B4C-DC77-4BEE-80F1-020146DA1FC4}" uniqueName="14" name="fav_drink1" queryTableFieldId="14" dataDxfId="2"/>
    <tableColumn id="38" xr3:uid="{389DB0C3-DE3F-4EC3-9926-1C59161537DB}" uniqueName="38" name="fav_drink2" queryTableFieldId="39" dataDxfId="1"/>
    <tableColumn id="15" xr3:uid="{B405E55B-97E2-4316-B65D-08C111235380}" uniqueName="15" name="personal_training" queryTableFieldId="15"/>
    <tableColumn id="16" xr3:uid="{437753D2-1EA8-4BE9-ABC6-AB1F8C3F0AE0}" uniqueName="16" name="name_personal_trainer" queryTableFieldId="16" dataDxfId="0"/>
    <tableColumn id="17" xr3:uid="{B86BE662-A932-45DC-90E9-ABC6214F67E3}" uniqueName="17" name="uses_sauna"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8C1641-0424-49F5-B98A-361DCD0C7440}" name="Table3" displayName="Table3" ref="A11:B18" totalsRowShown="0">
  <autoFilter ref="A11:B18" xr:uid="{6A8C1641-0424-49F5-B98A-361DCD0C7440}"/>
  <tableColumns count="2">
    <tableColumn id="1" xr3:uid="{B630FCB1-BBD7-4294-A7DD-B9D67C1D8375}" name="Days"/>
    <tableColumn id="2" xr3:uid="{C521A602-3105-4A8D-A4E9-127D05881D1B}" name="Number of visi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9631-03F1-4ED3-8F2B-C63EC4178F47}">
  <dimension ref="A1"/>
  <sheetViews>
    <sheetView zoomScale="86" zoomScaleNormal="86" workbookViewId="0">
      <selection activeCell="H24" sqref="H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2C55-559D-4A68-9498-AC49D398DC3B}">
  <dimension ref="A1:AD1001"/>
  <sheetViews>
    <sheetView tabSelected="1" topLeftCell="A2" workbookViewId="0">
      <selection activeCell="G14" sqref="G14"/>
    </sheetView>
  </sheetViews>
  <sheetFormatPr defaultRowHeight="15" x14ac:dyDescent="0.25"/>
  <cols>
    <col min="1" max="1" width="5" bestFit="1" customWidth="1"/>
    <col min="2" max="2" width="9.5703125" bestFit="1" customWidth="1"/>
    <col min="3" max="3" width="10.7109375" style="3" bestFit="1" customWidth="1"/>
    <col min="4" max="4" width="6.5703125" style="2" bestFit="1" customWidth="1"/>
    <col min="5" max="5" width="7.5703125" bestFit="1" customWidth="1"/>
    <col min="6" max="6" width="18.5703125" bestFit="1" customWidth="1"/>
    <col min="7" max="7" width="16.7109375" bestFit="1" customWidth="1"/>
    <col min="8" max="8" width="22.85546875" bestFit="1" customWidth="1"/>
    <col min="9" max="13" width="8.140625" bestFit="1" customWidth="1"/>
    <col min="14" max="14" width="22.28515625" bestFit="1" customWidth="1"/>
    <col min="15" max="16" width="32.28515625" bestFit="1" customWidth="1"/>
    <col min="17" max="17" width="32.28515625" customWidth="1"/>
    <col min="18" max="18" width="20.140625" bestFit="1" customWidth="1"/>
    <col min="19" max="19" width="20.28515625" style="1" bestFit="1" customWidth="1"/>
    <col min="20" max="20" width="21.5703125" style="1" bestFit="1" customWidth="1"/>
    <col min="21" max="21" width="18.5703125" bestFit="1" customWidth="1"/>
    <col min="22" max="22" width="12" bestFit="1" customWidth="1"/>
    <col min="23" max="23" width="31.7109375" bestFit="1" customWidth="1"/>
    <col min="24" max="25" width="31.7109375" customWidth="1"/>
    <col min="26" max="26" width="19" bestFit="1" customWidth="1"/>
    <col min="27" max="27" width="24.28515625" bestFit="1" customWidth="1"/>
    <col min="28" max="28" width="13.7109375" style="2" bestFit="1" customWidth="1"/>
  </cols>
  <sheetData>
    <row r="1" spans="1:30" x14ac:dyDescent="0.25">
      <c r="A1" t="s">
        <v>0</v>
      </c>
      <c r="B1" t="s">
        <v>1</v>
      </c>
      <c r="C1" s="3" t="s">
        <v>2</v>
      </c>
      <c r="D1" s="2" t="s">
        <v>3</v>
      </c>
      <c r="E1" t="s">
        <v>430</v>
      </c>
      <c r="F1" t="s">
        <v>4</v>
      </c>
      <c r="G1" t="s">
        <v>5</v>
      </c>
      <c r="H1" t="s">
        <v>6</v>
      </c>
      <c r="I1" t="s">
        <v>431</v>
      </c>
      <c r="J1" t="s">
        <v>432</v>
      </c>
      <c r="K1" t="s">
        <v>433</v>
      </c>
      <c r="L1" t="s">
        <v>434</v>
      </c>
      <c r="M1" t="s">
        <v>435</v>
      </c>
      <c r="N1" t="s">
        <v>7</v>
      </c>
      <c r="O1" t="s">
        <v>8</v>
      </c>
      <c r="P1" t="s">
        <v>442</v>
      </c>
      <c r="Q1" t="s">
        <v>441</v>
      </c>
      <c r="R1" t="s">
        <v>443</v>
      </c>
      <c r="S1" s="1" t="s">
        <v>9</v>
      </c>
      <c r="T1" s="1" t="s">
        <v>10</v>
      </c>
      <c r="U1" t="s">
        <v>11</v>
      </c>
      <c r="V1" t="s">
        <v>12</v>
      </c>
      <c r="W1" t="s">
        <v>13</v>
      </c>
      <c r="X1" t="s">
        <v>447</v>
      </c>
      <c r="Y1" t="s">
        <v>446</v>
      </c>
      <c r="Z1" t="s">
        <v>14</v>
      </c>
      <c r="AA1" t="s">
        <v>15</v>
      </c>
      <c r="AB1" t="s">
        <v>16</v>
      </c>
      <c r="AD1" s="2"/>
    </row>
    <row r="2" spans="1:30" x14ac:dyDescent="0.25">
      <c r="A2">
        <v>1</v>
      </c>
      <c r="B2" t="s">
        <v>17</v>
      </c>
      <c r="C2" s="3">
        <v>35538</v>
      </c>
      <c r="D2" s="2">
        <f ca="1">DATEDIF(gym_membership[[#This Row],[birthday]],TODAY(),"y")</f>
        <v>29</v>
      </c>
      <c r="E2">
        <v>27</v>
      </c>
      <c r="F2" t="s">
        <v>18</v>
      </c>
      <c r="G2">
        <v>4</v>
      </c>
      <c r="H2" t="s">
        <v>19</v>
      </c>
      <c r="I2" t="s">
        <v>34</v>
      </c>
      <c r="J2" t="s">
        <v>26</v>
      </c>
      <c r="K2" t="s">
        <v>57</v>
      </c>
      <c r="L2" t="s">
        <v>77</v>
      </c>
      <c r="N2" t="b">
        <v>1</v>
      </c>
      <c r="O2" t="s">
        <v>20</v>
      </c>
      <c r="P2" t="s">
        <v>120</v>
      </c>
      <c r="Q2" t="s">
        <v>41</v>
      </c>
      <c r="R2" t="s">
        <v>72</v>
      </c>
      <c r="S2" s="1">
        <v>0.81319444444444444</v>
      </c>
      <c r="T2" s="1">
        <v>0.89375000000000004</v>
      </c>
      <c r="U2">
        <v>116</v>
      </c>
      <c r="V2" t="b">
        <v>0</v>
      </c>
      <c r="W2" t="s">
        <v>21</v>
      </c>
      <c r="Z2" t="b">
        <v>0</v>
      </c>
      <c r="AA2" t="s">
        <v>456</v>
      </c>
      <c r="AB2" t="b">
        <v>1</v>
      </c>
      <c r="AD2" s="2"/>
    </row>
    <row r="3" spans="1:30" x14ac:dyDescent="0.25">
      <c r="A3">
        <v>2</v>
      </c>
      <c r="B3" t="s">
        <v>17</v>
      </c>
      <c r="C3" s="3">
        <v>28386</v>
      </c>
      <c r="D3" s="2">
        <f ca="1">DATEDIF(gym_membership[[#This Row],[birthday]],TODAY(),"y")</f>
        <v>48</v>
      </c>
      <c r="E3">
        <v>47</v>
      </c>
      <c r="F3" t="s">
        <v>22</v>
      </c>
      <c r="G3">
        <v>3</v>
      </c>
      <c r="H3" t="s">
        <v>23</v>
      </c>
      <c r="I3" t="s">
        <v>34</v>
      </c>
      <c r="J3" t="s">
        <v>26</v>
      </c>
      <c r="K3" t="s">
        <v>77</v>
      </c>
      <c r="N3" t="b">
        <v>0</v>
      </c>
      <c r="O3" t="s">
        <v>21</v>
      </c>
      <c r="S3" s="1">
        <v>0.81319444444444444</v>
      </c>
      <c r="T3" s="1">
        <v>0.84652777777777777</v>
      </c>
      <c r="U3">
        <v>48</v>
      </c>
      <c r="V3" t="b">
        <v>0</v>
      </c>
      <c r="W3" t="s">
        <v>21</v>
      </c>
      <c r="Z3" t="b">
        <v>1</v>
      </c>
      <c r="AA3" t="s">
        <v>24</v>
      </c>
      <c r="AB3" t="b">
        <v>0</v>
      </c>
      <c r="AD3" s="2"/>
    </row>
    <row r="4" spans="1:30" x14ac:dyDescent="0.25">
      <c r="A4">
        <v>3</v>
      </c>
      <c r="B4" t="s">
        <v>25</v>
      </c>
      <c r="C4" s="3">
        <v>30405</v>
      </c>
      <c r="D4" s="2">
        <f ca="1">DATEDIF(gym_membership[[#This Row],[birthday]],TODAY(),"y")</f>
        <v>43</v>
      </c>
      <c r="E4">
        <v>41</v>
      </c>
      <c r="F4" t="s">
        <v>18</v>
      </c>
      <c r="G4">
        <v>1</v>
      </c>
      <c r="H4" t="s">
        <v>26</v>
      </c>
      <c r="I4" t="s">
        <v>26</v>
      </c>
      <c r="N4" t="b">
        <v>1</v>
      </c>
      <c r="O4" t="s">
        <v>27</v>
      </c>
      <c r="P4" t="s">
        <v>27</v>
      </c>
      <c r="S4" s="1">
        <v>0.35347222222222224</v>
      </c>
      <c r="T4" s="1">
        <v>0.43888888888888888</v>
      </c>
      <c r="U4">
        <v>123</v>
      </c>
      <c r="V4" t="b">
        <v>1</v>
      </c>
      <c r="W4" t="s">
        <v>28</v>
      </c>
      <c r="X4" t="s">
        <v>76</v>
      </c>
      <c r="Y4" t="s">
        <v>65</v>
      </c>
      <c r="Z4" t="b">
        <v>1</v>
      </c>
      <c r="AA4" t="s">
        <v>29</v>
      </c>
      <c r="AB4" t="b">
        <v>0</v>
      </c>
      <c r="AD4" s="2"/>
    </row>
    <row r="5" spans="1:30" x14ac:dyDescent="0.25">
      <c r="A5">
        <v>4</v>
      </c>
      <c r="B5" t="s">
        <v>25</v>
      </c>
      <c r="C5" s="3">
        <v>29323</v>
      </c>
      <c r="D5" s="2">
        <f ca="1">DATEDIF(gym_membership[[#This Row],[birthday]],TODAY(),"y")</f>
        <v>46</v>
      </c>
      <c r="E5">
        <v>44</v>
      </c>
      <c r="F5" t="s">
        <v>18</v>
      </c>
      <c r="G5">
        <v>3</v>
      </c>
      <c r="H5" t="s">
        <v>30</v>
      </c>
      <c r="I5" t="s">
        <v>26</v>
      </c>
      <c r="J5" t="s">
        <v>57</v>
      </c>
      <c r="K5" t="s">
        <v>77</v>
      </c>
      <c r="N5" t="b">
        <v>0</v>
      </c>
      <c r="O5" t="s">
        <v>21</v>
      </c>
      <c r="S5" s="1">
        <v>0.41249999999999998</v>
      </c>
      <c r="T5" s="1">
        <v>0.48125000000000001</v>
      </c>
      <c r="U5">
        <v>99</v>
      </c>
      <c r="V5" t="b">
        <v>1</v>
      </c>
      <c r="W5" t="s">
        <v>31</v>
      </c>
      <c r="X5" t="s">
        <v>31</v>
      </c>
      <c r="Z5" t="b">
        <v>1</v>
      </c>
      <c r="AA5" t="s">
        <v>29</v>
      </c>
      <c r="AB5" t="b">
        <v>1</v>
      </c>
      <c r="AD5" s="2"/>
    </row>
    <row r="6" spans="1:30" x14ac:dyDescent="0.25">
      <c r="A6">
        <v>5</v>
      </c>
      <c r="B6" t="s">
        <v>25</v>
      </c>
      <c r="C6" s="3">
        <v>29474</v>
      </c>
      <c r="D6" s="2">
        <f ca="1">DATEDIF(gym_membership[[#This Row],[birthday]],TODAY(),"y")</f>
        <v>45</v>
      </c>
      <c r="E6">
        <v>44</v>
      </c>
      <c r="F6" t="s">
        <v>22</v>
      </c>
      <c r="G6">
        <v>2</v>
      </c>
      <c r="H6" t="s">
        <v>32</v>
      </c>
      <c r="I6" t="s">
        <v>95</v>
      </c>
      <c r="J6" t="s">
        <v>77</v>
      </c>
      <c r="N6" t="b">
        <v>1</v>
      </c>
      <c r="O6" t="s">
        <v>33</v>
      </c>
      <c r="P6" t="s">
        <v>128</v>
      </c>
      <c r="Q6" t="s">
        <v>103</v>
      </c>
      <c r="R6" t="s">
        <v>72</v>
      </c>
      <c r="S6" s="1">
        <v>0.35347222222222224</v>
      </c>
      <c r="T6" s="1">
        <v>0.38819444444444445</v>
      </c>
      <c r="U6">
        <v>50</v>
      </c>
      <c r="V6" t="b">
        <v>0</v>
      </c>
      <c r="W6" t="s">
        <v>21</v>
      </c>
      <c r="Z6" t="b">
        <v>1</v>
      </c>
      <c r="AA6" t="s">
        <v>29</v>
      </c>
      <c r="AB6" t="b">
        <v>0</v>
      </c>
      <c r="AD6" s="2"/>
    </row>
    <row r="7" spans="1:30" x14ac:dyDescent="0.25">
      <c r="A7">
        <v>6</v>
      </c>
      <c r="B7" t="s">
        <v>17</v>
      </c>
      <c r="C7" s="3">
        <v>39993</v>
      </c>
      <c r="D7" s="2">
        <f ca="1">DATEDIF(gym_membership[[#This Row],[birthday]],TODAY(),"y")</f>
        <v>17</v>
      </c>
      <c r="E7">
        <v>15</v>
      </c>
      <c r="F7" t="s">
        <v>22</v>
      </c>
      <c r="G7">
        <v>1</v>
      </c>
      <c r="H7" t="s">
        <v>34</v>
      </c>
      <c r="I7" t="s">
        <v>34</v>
      </c>
      <c r="N7" t="b">
        <v>0</v>
      </c>
      <c r="O7" t="s">
        <v>21</v>
      </c>
      <c r="S7" s="1">
        <v>0.72152777777777777</v>
      </c>
      <c r="T7" s="1">
        <v>0.84652777777777777</v>
      </c>
      <c r="U7">
        <v>180</v>
      </c>
      <c r="V7" t="b">
        <v>0</v>
      </c>
      <c r="W7" t="s">
        <v>21</v>
      </c>
      <c r="Z7" t="b">
        <v>0</v>
      </c>
      <c r="AA7" t="s">
        <v>456</v>
      </c>
      <c r="AB7" t="b">
        <v>1</v>
      </c>
      <c r="AD7" s="2"/>
    </row>
    <row r="8" spans="1:30" x14ac:dyDescent="0.25">
      <c r="A8">
        <v>7</v>
      </c>
      <c r="B8" t="s">
        <v>25</v>
      </c>
      <c r="C8" s="3">
        <v>34553</v>
      </c>
      <c r="D8" s="2">
        <f ca="1">DATEDIF(gym_membership[[#This Row],[birthday]],TODAY(),"y")</f>
        <v>32</v>
      </c>
      <c r="E8">
        <v>30</v>
      </c>
      <c r="F8" t="s">
        <v>18</v>
      </c>
      <c r="G8">
        <v>3</v>
      </c>
      <c r="H8" t="s">
        <v>35</v>
      </c>
      <c r="I8" t="s">
        <v>26</v>
      </c>
      <c r="J8" t="s">
        <v>95</v>
      </c>
      <c r="K8" t="s">
        <v>77</v>
      </c>
      <c r="N8" t="b">
        <v>1</v>
      </c>
      <c r="O8" t="s">
        <v>36</v>
      </c>
      <c r="P8" t="s">
        <v>91</v>
      </c>
      <c r="Q8" t="s">
        <v>41</v>
      </c>
      <c r="S8" s="1">
        <v>0.82361111111111107</v>
      </c>
      <c r="T8" s="1">
        <v>0.8666666666666667</v>
      </c>
      <c r="U8">
        <v>62</v>
      </c>
      <c r="V8" t="b">
        <v>0</v>
      </c>
      <c r="W8" t="s">
        <v>21</v>
      </c>
      <c r="Z8" t="b">
        <v>0</v>
      </c>
      <c r="AA8" t="s">
        <v>456</v>
      </c>
      <c r="AB8" t="b">
        <v>0</v>
      </c>
      <c r="AD8" s="2"/>
    </row>
    <row r="9" spans="1:30" x14ac:dyDescent="0.25">
      <c r="A9">
        <v>8</v>
      </c>
      <c r="B9" t="s">
        <v>25</v>
      </c>
      <c r="C9" s="3">
        <v>37938</v>
      </c>
      <c r="D9" s="2">
        <f ca="1">DATEDIF(gym_membership[[#This Row],[birthday]],TODAY(),"y")</f>
        <v>22</v>
      </c>
      <c r="E9">
        <v>20</v>
      </c>
      <c r="F9" t="s">
        <v>22</v>
      </c>
      <c r="G9">
        <v>2</v>
      </c>
      <c r="H9" t="s">
        <v>37</v>
      </c>
      <c r="I9" t="s">
        <v>34</v>
      </c>
      <c r="J9" t="s">
        <v>77</v>
      </c>
      <c r="N9" t="b">
        <v>1</v>
      </c>
      <c r="O9" t="s">
        <v>38</v>
      </c>
      <c r="P9" t="s">
        <v>103</v>
      </c>
      <c r="Q9" t="s">
        <v>27</v>
      </c>
      <c r="S9" s="1">
        <v>0.73958333333333337</v>
      </c>
      <c r="T9" s="1">
        <v>0.80555555555555558</v>
      </c>
      <c r="U9">
        <v>95</v>
      </c>
      <c r="V9" t="b">
        <v>1</v>
      </c>
      <c r="W9" t="s">
        <v>39</v>
      </c>
      <c r="X9" t="s">
        <v>39</v>
      </c>
      <c r="Z9" t="b">
        <v>0</v>
      </c>
      <c r="AA9" t="s">
        <v>456</v>
      </c>
      <c r="AB9" t="b">
        <v>1</v>
      </c>
      <c r="AD9" s="2"/>
    </row>
    <row r="10" spans="1:30" x14ac:dyDescent="0.25">
      <c r="A10">
        <v>9</v>
      </c>
      <c r="B10" t="s">
        <v>25</v>
      </c>
      <c r="C10" s="3">
        <v>28699</v>
      </c>
      <c r="D10" s="2">
        <f ca="1">DATEDIF(gym_membership[[#This Row],[birthday]],TODAY(),"y")</f>
        <v>48</v>
      </c>
      <c r="E10">
        <v>46</v>
      </c>
      <c r="F10" t="s">
        <v>18</v>
      </c>
      <c r="G10">
        <v>3</v>
      </c>
      <c r="H10" t="s">
        <v>40</v>
      </c>
      <c r="I10" t="s">
        <v>26</v>
      </c>
      <c r="J10" t="s">
        <v>94</v>
      </c>
      <c r="K10" t="s">
        <v>95</v>
      </c>
      <c r="N10" t="b">
        <v>1</v>
      </c>
      <c r="O10" t="s">
        <v>41</v>
      </c>
      <c r="P10" t="s">
        <v>41</v>
      </c>
      <c r="S10" s="1">
        <v>0.40625</v>
      </c>
      <c r="T10" s="1">
        <v>0.47013888888888888</v>
      </c>
      <c r="U10">
        <v>92</v>
      </c>
      <c r="V10" t="b">
        <v>1</v>
      </c>
      <c r="W10" t="s">
        <v>42</v>
      </c>
      <c r="X10" t="s">
        <v>59</v>
      </c>
      <c r="Y10" t="s">
        <v>65</v>
      </c>
      <c r="Z10" t="b">
        <v>1</v>
      </c>
      <c r="AA10" t="s">
        <v>29</v>
      </c>
      <c r="AB10" t="b">
        <v>0</v>
      </c>
      <c r="AD10" s="2"/>
    </row>
    <row r="11" spans="1:30" x14ac:dyDescent="0.25">
      <c r="A11">
        <v>10</v>
      </c>
      <c r="B11" t="s">
        <v>17</v>
      </c>
      <c r="C11" s="3">
        <v>36652</v>
      </c>
      <c r="D11" s="2">
        <f ca="1">DATEDIF(gym_membership[[#This Row],[birthday]],TODAY(),"y")</f>
        <v>26</v>
      </c>
      <c r="E11">
        <v>24</v>
      </c>
      <c r="F11" t="s">
        <v>18</v>
      </c>
      <c r="G11">
        <v>1</v>
      </c>
      <c r="H11" t="s">
        <v>34</v>
      </c>
      <c r="I11" t="s">
        <v>34</v>
      </c>
      <c r="N11" t="b">
        <v>0</v>
      </c>
      <c r="O11" t="s">
        <v>21</v>
      </c>
      <c r="S11" s="1">
        <v>0.54513888888888884</v>
      </c>
      <c r="T11" s="1">
        <v>0.64513888888888893</v>
      </c>
      <c r="U11">
        <v>144</v>
      </c>
      <c r="V11" t="b">
        <v>0</v>
      </c>
      <c r="W11" t="s">
        <v>21</v>
      </c>
      <c r="Z11" t="b">
        <v>1</v>
      </c>
      <c r="AA11" t="s">
        <v>43</v>
      </c>
      <c r="AB11" t="b">
        <v>1</v>
      </c>
      <c r="AD11" s="2"/>
    </row>
    <row r="12" spans="1:30" x14ac:dyDescent="0.25">
      <c r="A12">
        <v>11</v>
      </c>
      <c r="B12" t="s">
        <v>25</v>
      </c>
      <c r="C12" s="3">
        <v>30508</v>
      </c>
      <c r="D12" s="2">
        <f ca="1">DATEDIF(gym_membership[[#This Row],[birthday]],TODAY(),"y")</f>
        <v>43</v>
      </c>
      <c r="E12">
        <v>41</v>
      </c>
      <c r="F12" t="s">
        <v>22</v>
      </c>
      <c r="G12">
        <v>1</v>
      </c>
      <c r="H12" t="s">
        <v>44</v>
      </c>
      <c r="I12" t="s">
        <v>44</v>
      </c>
      <c r="N12" t="b">
        <v>0</v>
      </c>
      <c r="O12" t="s">
        <v>21</v>
      </c>
      <c r="S12" s="1">
        <v>0.57638888888888884</v>
      </c>
      <c r="T12" s="1">
        <v>0.60138888888888886</v>
      </c>
      <c r="U12">
        <v>36</v>
      </c>
      <c r="V12" t="b">
        <v>0</v>
      </c>
      <c r="W12" t="s">
        <v>21</v>
      </c>
      <c r="Z12" t="b">
        <v>1</v>
      </c>
      <c r="AA12" t="s">
        <v>45</v>
      </c>
      <c r="AB12" t="b">
        <v>0</v>
      </c>
      <c r="AD12" s="2"/>
    </row>
    <row r="13" spans="1:30" x14ac:dyDescent="0.25">
      <c r="A13">
        <v>12</v>
      </c>
      <c r="B13" t="s">
        <v>25</v>
      </c>
      <c r="C13" s="3">
        <v>35692</v>
      </c>
      <c r="D13" s="2">
        <f ca="1">DATEDIF(gym_membership[[#This Row],[birthday]],TODAY(),"y")</f>
        <v>28</v>
      </c>
      <c r="E13">
        <v>27</v>
      </c>
      <c r="F13" t="s">
        <v>18</v>
      </c>
      <c r="G13">
        <v>3</v>
      </c>
      <c r="H13" t="s">
        <v>46</v>
      </c>
      <c r="I13" t="s">
        <v>44</v>
      </c>
      <c r="J13" t="s">
        <v>95</v>
      </c>
      <c r="K13" t="s">
        <v>77</v>
      </c>
      <c r="N13" t="b">
        <v>1</v>
      </c>
      <c r="O13" t="s">
        <v>47</v>
      </c>
      <c r="P13" t="s">
        <v>58</v>
      </c>
      <c r="Q13" t="s">
        <v>72</v>
      </c>
      <c r="R13" t="s">
        <v>27</v>
      </c>
      <c r="S13" s="1">
        <v>0.42499999999999999</v>
      </c>
      <c r="T13" s="1">
        <v>0.44791666666666669</v>
      </c>
      <c r="U13">
        <v>33</v>
      </c>
      <c r="V13" t="b">
        <v>1</v>
      </c>
      <c r="W13" t="s">
        <v>31</v>
      </c>
      <c r="X13" t="s">
        <v>31</v>
      </c>
      <c r="Z13" t="b">
        <v>1</v>
      </c>
      <c r="AA13" t="s">
        <v>29</v>
      </c>
      <c r="AB13" t="b">
        <v>1</v>
      </c>
      <c r="AD13" s="2"/>
    </row>
    <row r="14" spans="1:30" x14ac:dyDescent="0.25">
      <c r="A14">
        <v>13</v>
      </c>
      <c r="B14" t="s">
        <v>17</v>
      </c>
      <c r="C14" s="3">
        <v>34446</v>
      </c>
      <c r="D14" s="2">
        <f ca="1">DATEDIF(gym_membership[[#This Row],[birthday]],TODAY(),"y")</f>
        <v>32</v>
      </c>
      <c r="E14">
        <v>30</v>
      </c>
      <c r="F14" t="s">
        <v>22</v>
      </c>
      <c r="G14">
        <v>2</v>
      </c>
      <c r="H14" t="s">
        <v>48</v>
      </c>
      <c r="I14" t="s">
        <v>94</v>
      </c>
      <c r="J14" t="s">
        <v>77</v>
      </c>
      <c r="N14" t="b">
        <v>1</v>
      </c>
      <c r="O14" t="s">
        <v>49</v>
      </c>
      <c r="P14" t="s">
        <v>27</v>
      </c>
      <c r="Q14" t="s">
        <v>67</v>
      </c>
      <c r="R14" t="s">
        <v>128</v>
      </c>
      <c r="S14" s="1">
        <v>0.71111111111111114</v>
      </c>
      <c r="T14" s="1">
        <v>0.8208333333333333</v>
      </c>
      <c r="U14">
        <v>158</v>
      </c>
      <c r="V14" t="b">
        <v>1</v>
      </c>
      <c r="W14" t="s">
        <v>31</v>
      </c>
      <c r="X14" t="s">
        <v>31</v>
      </c>
      <c r="Z14" t="b">
        <v>0</v>
      </c>
      <c r="AA14" t="s">
        <v>456</v>
      </c>
      <c r="AB14" t="b">
        <v>1</v>
      </c>
      <c r="AD14" s="2"/>
    </row>
    <row r="15" spans="1:30" x14ac:dyDescent="0.25">
      <c r="A15">
        <v>14</v>
      </c>
      <c r="B15" t="s">
        <v>17</v>
      </c>
      <c r="C15" s="3">
        <v>32588</v>
      </c>
      <c r="D15" s="2">
        <f ca="1">DATEDIF(gym_membership[[#This Row],[birthday]],TODAY(),"y")</f>
        <v>37</v>
      </c>
      <c r="E15">
        <v>35</v>
      </c>
      <c r="F15" t="s">
        <v>18</v>
      </c>
      <c r="G15">
        <v>3</v>
      </c>
      <c r="H15" t="s">
        <v>50</v>
      </c>
      <c r="I15" t="s">
        <v>34</v>
      </c>
      <c r="J15" t="s">
        <v>57</v>
      </c>
      <c r="K15" t="s">
        <v>77</v>
      </c>
      <c r="N15" t="b">
        <v>0</v>
      </c>
      <c r="O15" t="s">
        <v>21</v>
      </c>
      <c r="S15" s="1">
        <v>0.82638888888888884</v>
      </c>
      <c r="T15" s="1">
        <v>0.86875000000000002</v>
      </c>
      <c r="U15">
        <v>61</v>
      </c>
      <c r="V15" t="b">
        <v>1</v>
      </c>
      <c r="W15" t="s">
        <v>51</v>
      </c>
      <c r="X15" t="s">
        <v>51</v>
      </c>
      <c r="Z15" t="b">
        <v>0</v>
      </c>
      <c r="AA15" t="s">
        <v>456</v>
      </c>
      <c r="AB15" t="b">
        <v>0</v>
      </c>
      <c r="AD15" s="2"/>
    </row>
    <row r="16" spans="1:30" x14ac:dyDescent="0.25">
      <c r="A16">
        <v>15</v>
      </c>
      <c r="B16" t="s">
        <v>17</v>
      </c>
      <c r="C16" s="3">
        <v>32782</v>
      </c>
      <c r="D16" s="2">
        <f ca="1">DATEDIF(gym_membership[[#This Row],[birthday]],TODAY(),"y")</f>
        <v>36</v>
      </c>
      <c r="E16">
        <v>35</v>
      </c>
      <c r="F16" t="s">
        <v>18</v>
      </c>
      <c r="G16">
        <v>1</v>
      </c>
      <c r="H16" t="s">
        <v>26</v>
      </c>
      <c r="I16" t="s">
        <v>26</v>
      </c>
      <c r="N16" t="b">
        <v>0</v>
      </c>
      <c r="O16" t="s">
        <v>21</v>
      </c>
      <c r="S16" s="1">
        <v>0.84166666666666667</v>
      </c>
      <c r="T16" s="1">
        <v>0.94236111111111109</v>
      </c>
      <c r="U16">
        <v>145</v>
      </c>
      <c r="V16" t="b">
        <v>1</v>
      </c>
      <c r="W16" t="s">
        <v>52</v>
      </c>
      <c r="X16" t="s">
        <v>59</v>
      </c>
      <c r="Y16" t="s">
        <v>51</v>
      </c>
      <c r="Z16" t="b">
        <v>1</v>
      </c>
      <c r="AA16" t="s">
        <v>29</v>
      </c>
      <c r="AB16" t="b">
        <v>0</v>
      </c>
      <c r="AD16" s="2"/>
    </row>
    <row r="17" spans="1:30" x14ac:dyDescent="0.25">
      <c r="A17">
        <v>16</v>
      </c>
      <c r="B17" t="s">
        <v>17</v>
      </c>
      <c r="C17" s="3">
        <v>32131</v>
      </c>
      <c r="D17" s="2">
        <f ca="1">DATEDIF(gym_membership[[#This Row],[birthday]],TODAY(),"y")</f>
        <v>38</v>
      </c>
      <c r="E17">
        <v>36</v>
      </c>
      <c r="F17" t="s">
        <v>22</v>
      </c>
      <c r="G17">
        <v>4</v>
      </c>
      <c r="H17" t="s">
        <v>53</v>
      </c>
      <c r="I17" t="s">
        <v>34</v>
      </c>
      <c r="J17" t="s">
        <v>95</v>
      </c>
      <c r="K17" t="s">
        <v>57</v>
      </c>
      <c r="L17" t="s">
        <v>77</v>
      </c>
      <c r="N17" t="b">
        <v>1</v>
      </c>
      <c r="O17" t="s">
        <v>54</v>
      </c>
      <c r="P17" t="s">
        <v>100</v>
      </c>
      <c r="Q17" t="s">
        <v>72</v>
      </c>
      <c r="R17" t="s">
        <v>27</v>
      </c>
      <c r="S17" s="1">
        <v>0.72777777777777775</v>
      </c>
      <c r="T17" s="1">
        <v>0.77013888888888893</v>
      </c>
      <c r="U17">
        <v>61</v>
      </c>
      <c r="V17" t="b">
        <v>0</v>
      </c>
      <c r="W17" t="s">
        <v>21</v>
      </c>
      <c r="Z17" t="b">
        <v>0</v>
      </c>
      <c r="AA17" t="s">
        <v>456</v>
      </c>
      <c r="AB17" t="b">
        <v>0</v>
      </c>
      <c r="AD17" s="2"/>
    </row>
    <row r="18" spans="1:30" x14ac:dyDescent="0.25">
      <c r="A18">
        <v>17</v>
      </c>
      <c r="B18" t="s">
        <v>25</v>
      </c>
      <c r="C18" s="3">
        <v>31763</v>
      </c>
      <c r="D18" s="2">
        <f ca="1">DATEDIF(gym_membership[[#This Row],[birthday]],TODAY(),"y")</f>
        <v>39</v>
      </c>
      <c r="E18">
        <v>37</v>
      </c>
      <c r="F18" t="s">
        <v>18</v>
      </c>
      <c r="G18">
        <v>3</v>
      </c>
      <c r="H18" t="s">
        <v>55</v>
      </c>
      <c r="I18" t="s">
        <v>44</v>
      </c>
      <c r="J18" t="s">
        <v>26</v>
      </c>
      <c r="K18" t="s">
        <v>94</v>
      </c>
      <c r="N18" t="b">
        <v>0</v>
      </c>
      <c r="O18" t="s">
        <v>21</v>
      </c>
      <c r="S18" s="1">
        <v>0.3923611111111111</v>
      </c>
      <c r="T18" s="1">
        <v>0.50416666666666665</v>
      </c>
      <c r="U18">
        <v>161</v>
      </c>
      <c r="V18" t="b">
        <v>0</v>
      </c>
      <c r="W18" t="s">
        <v>21</v>
      </c>
      <c r="Z18" t="b">
        <v>1</v>
      </c>
      <c r="AA18" t="s">
        <v>43</v>
      </c>
      <c r="AB18" t="b">
        <v>1</v>
      </c>
      <c r="AD18" s="2"/>
    </row>
    <row r="19" spans="1:30" x14ac:dyDescent="0.25">
      <c r="A19">
        <v>18</v>
      </c>
      <c r="B19" t="s">
        <v>17</v>
      </c>
      <c r="C19" s="3">
        <v>40663</v>
      </c>
      <c r="D19" s="2">
        <f ca="1">DATEDIF(gym_membership[[#This Row],[birthday]],TODAY(),"y")</f>
        <v>15</v>
      </c>
      <c r="E19">
        <v>13</v>
      </c>
      <c r="F19" t="s">
        <v>22</v>
      </c>
      <c r="G19">
        <v>3</v>
      </c>
      <c r="H19" t="s">
        <v>56</v>
      </c>
      <c r="I19" t="s">
        <v>26</v>
      </c>
      <c r="J19" t="s">
        <v>95</v>
      </c>
      <c r="K19" t="s">
        <v>57</v>
      </c>
      <c r="N19" t="b">
        <v>0</v>
      </c>
      <c r="O19" t="s">
        <v>21</v>
      </c>
      <c r="S19" s="1">
        <v>0.70416666666666672</v>
      </c>
      <c r="T19" s="1">
        <v>0.78680555555555554</v>
      </c>
      <c r="U19">
        <v>119</v>
      </c>
      <c r="V19" t="b">
        <v>0</v>
      </c>
      <c r="W19" t="s">
        <v>21</v>
      </c>
      <c r="Z19" t="b">
        <v>1</v>
      </c>
      <c r="AA19" t="s">
        <v>29</v>
      </c>
      <c r="AB19" t="b">
        <v>1</v>
      </c>
      <c r="AD19" s="2"/>
    </row>
    <row r="20" spans="1:30" x14ac:dyDescent="0.25">
      <c r="A20">
        <v>19</v>
      </c>
      <c r="B20" t="s">
        <v>17</v>
      </c>
      <c r="C20" s="3">
        <v>31561</v>
      </c>
      <c r="D20" s="2">
        <f ca="1">DATEDIF(gym_membership[[#This Row],[birthday]],TODAY(),"y")</f>
        <v>40</v>
      </c>
      <c r="E20">
        <v>38</v>
      </c>
      <c r="F20" t="s">
        <v>22</v>
      </c>
      <c r="G20">
        <v>1</v>
      </c>
      <c r="H20" t="s">
        <v>57</v>
      </c>
      <c r="I20" t="s">
        <v>57</v>
      </c>
      <c r="N20" t="b">
        <v>1</v>
      </c>
      <c r="O20" t="s">
        <v>58</v>
      </c>
      <c r="P20" t="s">
        <v>58</v>
      </c>
      <c r="S20" s="1">
        <v>0.41736111111111113</v>
      </c>
      <c r="T20" s="1">
        <v>0.53333333333333333</v>
      </c>
      <c r="U20">
        <v>167</v>
      </c>
      <c r="V20" t="b">
        <v>1</v>
      </c>
      <c r="W20" t="s">
        <v>59</v>
      </c>
      <c r="X20" t="s">
        <v>59</v>
      </c>
      <c r="Z20" t="b">
        <v>1</v>
      </c>
      <c r="AA20" t="s">
        <v>45</v>
      </c>
      <c r="AB20" t="b">
        <v>1</v>
      </c>
      <c r="AD20" s="2"/>
    </row>
    <row r="21" spans="1:30" x14ac:dyDescent="0.25">
      <c r="A21">
        <v>20</v>
      </c>
      <c r="B21" t="s">
        <v>25</v>
      </c>
      <c r="C21" s="3">
        <v>33494</v>
      </c>
      <c r="D21" s="2">
        <f ca="1">DATEDIF(gym_membership[[#This Row],[birthday]],TODAY(),"y")</f>
        <v>34</v>
      </c>
      <c r="E21">
        <v>33</v>
      </c>
      <c r="F21" t="s">
        <v>18</v>
      </c>
      <c r="G21">
        <v>2</v>
      </c>
      <c r="H21" t="s">
        <v>60</v>
      </c>
      <c r="I21" t="s">
        <v>26</v>
      </c>
      <c r="J21" t="s">
        <v>77</v>
      </c>
      <c r="N21" t="b">
        <v>1</v>
      </c>
      <c r="O21" t="s">
        <v>61</v>
      </c>
      <c r="P21" t="s">
        <v>41</v>
      </c>
      <c r="Q21" t="s">
        <v>72</v>
      </c>
      <c r="R21" t="s">
        <v>58</v>
      </c>
      <c r="S21" s="1">
        <v>0.57986111111111116</v>
      </c>
      <c r="T21" s="1">
        <v>0.68333333333333335</v>
      </c>
      <c r="U21">
        <v>149</v>
      </c>
      <c r="V21" t="b">
        <v>0</v>
      </c>
      <c r="W21" t="s">
        <v>21</v>
      </c>
      <c r="Z21" t="b">
        <v>0</v>
      </c>
      <c r="AA21" t="s">
        <v>456</v>
      </c>
      <c r="AB21" t="b">
        <v>0</v>
      </c>
      <c r="AD21" s="2"/>
    </row>
    <row r="22" spans="1:30" x14ac:dyDescent="0.25">
      <c r="A22">
        <v>21</v>
      </c>
      <c r="B22" t="s">
        <v>17</v>
      </c>
      <c r="C22" s="3">
        <v>35795</v>
      </c>
      <c r="D22" s="2">
        <f ca="1">DATEDIF(gym_membership[[#This Row],[birthday]],TODAY(),"y")</f>
        <v>28</v>
      </c>
      <c r="E22">
        <v>26</v>
      </c>
      <c r="F22" t="s">
        <v>18</v>
      </c>
      <c r="G22">
        <v>2</v>
      </c>
      <c r="H22" t="s">
        <v>62</v>
      </c>
      <c r="I22" t="s">
        <v>44</v>
      </c>
      <c r="J22" t="s">
        <v>34</v>
      </c>
      <c r="N22" t="b">
        <v>0</v>
      </c>
      <c r="O22" t="s">
        <v>21</v>
      </c>
      <c r="S22" s="1">
        <v>0.34652777777777777</v>
      </c>
      <c r="T22" s="1">
        <v>0.44791666666666669</v>
      </c>
      <c r="U22">
        <v>146</v>
      </c>
      <c r="V22" t="b">
        <v>0</v>
      </c>
      <c r="W22" t="s">
        <v>21</v>
      </c>
      <c r="Z22" t="b">
        <v>1</v>
      </c>
      <c r="AA22" t="s">
        <v>45</v>
      </c>
      <c r="AB22" t="b">
        <v>0</v>
      </c>
      <c r="AD22" s="2"/>
    </row>
    <row r="23" spans="1:30" x14ac:dyDescent="0.25">
      <c r="A23">
        <v>22</v>
      </c>
      <c r="B23" t="s">
        <v>25</v>
      </c>
      <c r="C23" s="3">
        <v>35732</v>
      </c>
      <c r="D23" s="2">
        <f ca="1">DATEDIF(gym_membership[[#This Row],[birthday]],TODAY(),"y")</f>
        <v>28</v>
      </c>
      <c r="E23">
        <v>26</v>
      </c>
      <c r="F23" t="s">
        <v>18</v>
      </c>
      <c r="G23">
        <v>3</v>
      </c>
      <c r="H23" t="s">
        <v>63</v>
      </c>
      <c r="I23" t="s">
        <v>44</v>
      </c>
      <c r="J23" t="s">
        <v>34</v>
      </c>
      <c r="K23" t="s">
        <v>26</v>
      </c>
      <c r="N23" t="b">
        <v>1</v>
      </c>
      <c r="O23" t="s">
        <v>64</v>
      </c>
      <c r="P23" t="s">
        <v>103</v>
      </c>
      <c r="Q23" t="s">
        <v>96</v>
      </c>
      <c r="R23" t="s">
        <v>91</v>
      </c>
      <c r="S23" s="1">
        <v>0.62916666666666665</v>
      </c>
      <c r="T23" s="1">
        <v>0.73611111111111116</v>
      </c>
      <c r="U23">
        <v>154</v>
      </c>
      <c r="V23" t="b">
        <v>1</v>
      </c>
      <c r="W23" t="s">
        <v>65</v>
      </c>
      <c r="X23" t="s">
        <v>65</v>
      </c>
      <c r="Z23" t="b">
        <v>0</v>
      </c>
      <c r="AA23" t="s">
        <v>456</v>
      </c>
      <c r="AB23" t="b">
        <v>1</v>
      </c>
      <c r="AD23" s="2"/>
    </row>
    <row r="24" spans="1:30" x14ac:dyDescent="0.25">
      <c r="A24">
        <v>23</v>
      </c>
      <c r="B24" t="s">
        <v>17</v>
      </c>
      <c r="C24" s="3">
        <v>40473</v>
      </c>
      <c r="D24" s="2">
        <f ca="1">DATEDIF(gym_membership[[#This Row],[birthday]],TODAY(),"y")</f>
        <v>15</v>
      </c>
      <c r="E24">
        <v>13</v>
      </c>
      <c r="F24" t="s">
        <v>22</v>
      </c>
      <c r="G24">
        <v>2</v>
      </c>
      <c r="H24" t="s">
        <v>66</v>
      </c>
      <c r="I24" t="s">
        <v>34</v>
      </c>
      <c r="J24" t="s">
        <v>57</v>
      </c>
      <c r="N24" t="b">
        <v>1</v>
      </c>
      <c r="O24" t="s">
        <v>67</v>
      </c>
      <c r="P24" t="s">
        <v>67</v>
      </c>
      <c r="S24" s="1">
        <v>0.87222222222222223</v>
      </c>
      <c r="T24" s="1">
        <v>0.98333333333333328</v>
      </c>
      <c r="U24">
        <v>160</v>
      </c>
      <c r="V24" t="b">
        <v>1</v>
      </c>
      <c r="W24" t="s">
        <v>68</v>
      </c>
      <c r="X24" t="s">
        <v>31</v>
      </c>
      <c r="Y24" t="s">
        <v>59</v>
      </c>
      <c r="Z24" t="b">
        <v>1</v>
      </c>
      <c r="AA24" t="s">
        <v>29</v>
      </c>
      <c r="AB24" t="b">
        <v>0</v>
      </c>
      <c r="AD24" s="2"/>
    </row>
    <row r="25" spans="1:30" x14ac:dyDescent="0.25">
      <c r="A25">
        <v>24</v>
      </c>
      <c r="B25" t="s">
        <v>25</v>
      </c>
      <c r="C25" s="3">
        <v>40202</v>
      </c>
      <c r="D25" s="2">
        <f ca="1">DATEDIF(gym_membership[[#This Row],[birthday]],TODAY(),"y")</f>
        <v>16</v>
      </c>
      <c r="E25">
        <v>14</v>
      </c>
      <c r="F25" t="s">
        <v>18</v>
      </c>
      <c r="G25">
        <v>3</v>
      </c>
      <c r="H25" t="s">
        <v>30</v>
      </c>
      <c r="I25" t="s">
        <v>26</v>
      </c>
      <c r="J25" t="s">
        <v>57</v>
      </c>
      <c r="K25" t="s">
        <v>77</v>
      </c>
      <c r="N25" t="b">
        <v>0</v>
      </c>
      <c r="O25" t="s">
        <v>21</v>
      </c>
      <c r="S25" s="1">
        <v>0.6069444444444444</v>
      </c>
      <c r="T25" s="1">
        <v>0.68958333333333333</v>
      </c>
      <c r="U25">
        <v>119</v>
      </c>
      <c r="V25" t="b">
        <v>1</v>
      </c>
      <c r="W25" t="s">
        <v>69</v>
      </c>
      <c r="X25" t="s">
        <v>65</v>
      </c>
      <c r="Y25" t="s">
        <v>39</v>
      </c>
      <c r="Z25" t="b">
        <v>1</v>
      </c>
      <c r="AA25" t="s">
        <v>43</v>
      </c>
      <c r="AB25" t="b">
        <v>1</v>
      </c>
      <c r="AD25" s="2"/>
    </row>
    <row r="26" spans="1:30" x14ac:dyDescent="0.25">
      <c r="A26">
        <v>25</v>
      </c>
      <c r="B26" t="s">
        <v>17</v>
      </c>
      <c r="C26" s="3">
        <v>39725</v>
      </c>
      <c r="D26" s="2">
        <f ca="1">DATEDIF(gym_membership[[#This Row],[birthday]],TODAY(),"y")</f>
        <v>17</v>
      </c>
      <c r="E26">
        <v>16</v>
      </c>
      <c r="F26" t="s">
        <v>18</v>
      </c>
      <c r="G26">
        <v>1</v>
      </c>
      <c r="H26" t="s">
        <v>44</v>
      </c>
      <c r="I26" t="s">
        <v>44</v>
      </c>
      <c r="N26" t="b">
        <v>0</v>
      </c>
      <c r="O26" t="s">
        <v>21</v>
      </c>
      <c r="S26" s="1">
        <v>0.36249999999999999</v>
      </c>
      <c r="T26" s="1">
        <v>0.44027777777777777</v>
      </c>
      <c r="U26">
        <v>112</v>
      </c>
      <c r="V26" t="b">
        <v>0</v>
      </c>
      <c r="W26" t="s">
        <v>21</v>
      </c>
      <c r="Z26" t="b">
        <v>0</v>
      </c>
      <c r="AA26" t="s">
        <v>456</v>
      </c>
      <c r="AB26" t="b">
        <v>0</v>
      </c>
      <c r="AD26" s="2"/>
    </row>
    <row r="27" spans="1:30" x14ac:dyDescent="0.25">
      <c r="A27">
        <v>26</v>
      </c>
      <c r="B27" t="s">
        <v>25</v>
      </c>
      <c r="C27" s="3">
        <v>32676</v>
      </c>
      <c r="D27" s="2">
        <f ca="1">DATEDIF(gym_membership[[#This Row],[birthday]],TODAY(),"y")</f>
        <v>37</v>
      </c>
      <c r="E27">
        <v>35</v>
      </c>
      <c r="F27" t="s">
        <v>22</v>
      </c>
      <c r="G27">
        <v>1</v>
      </c>
      <c r="H27" t="s">
        <v>44</v>
      </c>
      <c r="I27" t="s">
        <v>44</v>
      </c>
      <c r="N27" t="b">
        <v>1</v>
      </c>
      <c r="O27" t="s">
        <v>70</v>
      </c>
      <c r="P27" t="s">
        <v>96</v>
      </c>
      <c r="Q27" t="s">
        <v>72</v>
      </c>
      <c r="R27" t="s">
        <v>103</v>
      </c>
      <c r="S27" s="1">
        <v>0.55000000000000004</v>
      </c>
      <c r="T27" s="1">
        <v>0.62083333333333335</v>
      </c>
      <c r="U27">
        <v>102</v>
      </c>
      <c r="V27" t="b">
        <v>1</v>
      </c>
      <c r="W27" t="s">
        <v>39</v>
      </c>
      <c r="X27" t="s">
        <v>39</v>
      </c>
      <c r="Z27" t="b">
        <v>1</v>
      </c>
      <c r="AA27" t="s">
        <v>24</v>
      </c>
      <c r="AB27" t="b">
        <v>0</v>
      </c>
      <c r="AD27" s="2"/>
    </row>
    <row r="28" spans="1:30" x14ac:dyDescent="0.25">
      <c r="A28">
        <v>27</v>
      </c>
      <c r="B28" t="s">
        <v>25</v>
      </c>
      <c r="C28" s="3">
        <v>38442</v>
      </c>
      <c r="D28" s="2">
        <f ca="1">DATEDIF(gym_membership[[#This Row],[birthday]],TODAY(),"y")</f>
        <v>21</v>
      </c>
      <c r="E28">
        <v>19</v>
      </c>
      <c r="F28" t="s">
        <v>18</v>
      </c>
      <c r="G28">
        <v>3</v>
      </c>
      <c r="H28" t="s">
        <v>71</v>
      </c>
      <c r="I28" t="s">
        <v>44</v>
      </c>
      <c r="J28" t="s">
        <v>94</v>
      </c>
      <c r="K28" t="s">
        <v>77</v>
      </c>
      <c r="N28" t="b">
        <v>1</v>
      </c>
      <c r="O28" t="s">
        <v>72</v>
      </c>
      <c r="P28" t="s">
        <v>72</v>
      </c>
      <c r="S28" s="1">
        <v>0.62569444444444444</v>
      </c>
      <c r="T28" s="1">
        <v>0.70763888888888893</v>
      </c>
      <c r="U28">
        <v>118</v>
      </c>
      <c r="V28" t="b">
        <v>1</v>
      </c>
      <c r="W28" t="s">
        <v>73</v>
      </c>
      <c r="X28" t="s">
        <v>76</v>
      </c>
      <c r="Y28" t="s">
        <v>31</v>
      </c>
      <c r="Z28" t="b">
        <v>0</v>
      </c>
      <c r="AA28" t="s">
        <v>456</v>
      </c>
      <c r="AB28" t="b">
        <v>0</v>
      </c>
      <c r="AD28" s="2"/>
    </row>
    <row r="29" spans="1:30" x14ac:dyDescent="0.25">
      <c r="A29">
        <v>28</v>
      </c>
      <c r="B29" t="s">
        <v>25</v>
      </c>
      <c r="C29" s="3">
        <v>33704</v>
      </c>
      <c r="D29" s="2">
        <f ca="1">DATEDIF(gym_membership[[#This Row],[birthday]],TODAY(),"y")</f>
        <v>34</v>
      </c>
      <c r="E29">
        <v>32</v>
      </c>
      <c r="F29" t="s">
        <v>22</v>
      </c>
      <c r="G29">
        <v>5</v>
      </c>
      <c r="H29" t="s">
        <v>74</v>
      </c>
      <c r="I29" t="s">
        <v>44</v>
      </c>
      <c r="J29" t="s">
        <v>26</v>
      </c>
      <c r="K29" t="s">
        <v>94</v>
      </c>
      <c r="L29" t="s">
        <v>57</v>
      </c>
      <c r="M29" t="s">
        <v>77</v>
      </c>
      <c r="N29" t="b">
        <v>1</v>
      </c>
      <c r="O29" t="s">
        <v>75</v>
      </c>
      <c r="P29" t="s">
        <v>96</v>
      </c>
      <c r="Q29" t="s">
        <v>58</v>
      </c>
      <c r="R29" t="s">
        <v>128</v>
      </c>
      <c r="S29" s="1">
        <v>0.82013888888888886</v>
      </c>
      <c r="T29" s="1">
        <v>0.89930555555555558</v>
      </c>
      <c r="U29">
        <v>114</v>
      </c>
      <c r="V29" t="b">
        <v>1</v>
      </c>
      <c r="W29" t="s">
        <v>76</v>
      </c>
      <c r="X29" t="s">
        <v>76</v>
      </c>
      <c r="Z29" t="b">
        <v>1</v>
      </c>
      <c r="AA29" t="s">
        <v>24</v>
      </c>
      <c r="AB29" t="b">
        <v>0</v>
      </c>
      <c r="AD29" s="2"/>
    </row>
    <row r="30" spans="1:30" x14ac:dyDescent="0.25">
      <c r="A30">
        <v>29</v>
      </c>
      <c r="B30" t="s">
        <v>17</v>
      </c>
      <c r="C30" s="3">
        <v>35451</v>
      </c>
      <c r="D30" s="2">
        <f ca="1">DATEDIF(gym_membership[[#This Row],[birthday]],TODAY(),"y")</f>
        <v>29</v>
      </c>
      <c r="E30">
        <v>27</v>
      </c>
      <c r="F30" t="s">
        <v>18</v>
      </c>
      <c r="G30">
        <v>1</v>
      </c>
      <c r="H30" t="s">
        <v>77</v>
      </c>
      <c r="I30" t="s">
        <v>77</v>
      </c>
      <c r="N30" t="b">
        <v>0</v>
      </c>
      <c r="O30" t="s">
        <v>21</v>
      </c>
      <c r="S30" s="1">
        <v>0.47569444444444442</v>
      </c>
      <c r="T30" s="1">
        <v>0.53888888888888886</v>
      </c>
      <c r="U30">
        <v>91</v>
      </c>
      <c r="V30" t="b">
        <v>1</v>
      </c>
      <c r="W30" t="s">
        <v>59</v>
      </c>
      <c r="X30" t="s">
        <v>59</v>
      </c>
      <c r="Z30" t="b">
        <v>0</v>
      </c>
      <c r="AA30" t="s">
        <v>456</v>
      </c>
      <c r="AB30" t="b">
        <v>1</v>
      </c>
      <c r="AD30" s="2"/>
    </row>
    <row r="31" spans="1:30" x14ac:dyDescent="0.25">
      <c r="A31">
        <v>30</v>
      </c>
      <c r="B31" t="s">
        <v>17</v>
      </c>
      <c r="C31" s="3">
        <v>37564</v>
      </c>
      <c r="D31" s="2">
        <f ca="1">DATEDIF(gym_membership[[#This Row],[birthday]],TODAY(),"y")</f>
        <v>23</v>
      </c>
      <c r="E31">
        <v>21</v>
      </c>
      <c r="F31" t="s">
        <v>18</v>
      </c>
      <c r="G31">
        <v>3</v>
      </c>
      <c r="H31" t="s">
        <v>78</v>
      </c>
      <c r="I31" t="s">
        <v>44</v>
      </c>
      <c r="J31" t="s">
        <v>34</v>
      </c>
      <c r="K31" t="s">
        <v>95</v>
      </c>
      <c r="N31" t="b">
        <v>1</v>
      </c>
      <c r="O31" t="s">
        <v>79</v>
      </c>
      <c r="P31" t="s">
        <v>100</v>
      </c>
      <c r="Q31" t="s">
        <v>41</v>
      </c>
      <c r="R31" t="s">
        <v>72</v>
      </c>
      <c r="S31" s="1">
        <v>0.84375</v>
      </c>
      <c r="T31" s="1">
        <v>0.9</v>
      </c>
      <c r="U31">
        <v>81</v>
      </c>
      <c r="V31" t="b">
        <v>1</v>
      </c>
      <c r="W31" t="s">
        <v>80</v>
      </c>
      <c r="X31" t="s">
        <v>59</v>
      </c>
      <c r="Y31" t="s">
        <v>39</v>
      </c>
      <c r="Z31" t="b">
        <v>0</v>
      </c>
      <c r="AA31" t="s">
        <v>456</v>
      </c>
      <c r="AB31" t="b">
        <v>1</v>
      </c>
      <c r="AD31" s="2"/>
    </row>
    <row r="32" spans="1:30" x14ac:dyDescent="0.25">
      <c r="A32">
        <v>31</v>
      </c>
      <c r="B32" t="s">
        <v>25</v>
      </c>
      <c r="C32" s="3">
        <v>32206</v>
      </c>
      <c r="D32" s="2">
        <f ca="1">DATEDIF(gym_membership[[#This Row],[birthday]],TODAY(),"y")</f>
        <v>38</v>
      </c>
      <c r="E32">
        <v>36</v>
      </c>
      <c r="F32" t="s">
        <v>18</v>
      </c>
      <c r="G32">
        <v>3</v>
      </c>
      <c r="H32" t="s">
        <v>81</v>
      </c>
      <c r="I32" t="s">
        <v>94</v>
      </c>
      <c r="J32" t="s">
        <v>95</v>
      </c>
      <c r="K32" t="s">
        <v>77</v>
      </c>
      <c r="N32" t="b">
        <v>0</v>
      </c>
      <c r="O32" t="s">
        <v>21</v>
      </c>
      <c r="S32" s="1">
        <v>0.41736111111111113</v>
      </c>
      <c r="T32" s="1">
        <v>0.50763888888888886</v>
      </c>
      <c r="U32">
        <v>130</v>
      </c>
      <c r="V32" t="b">
        <v>0</v>
      </c>
      <c r="W32" t="s">
        <v>21</v>
      </c>
      <c r="Z32" t="b">
        <v>1</v>
      </c>
      <c r="AA32" t="s">
        <v>43</v>
      </c>
      <c r="AB32" t="b">
        <v>1</v>
      </c>
      <c r="AD32" s="2"/>
    </row>
    <row r="33" spans="1:30" x14ac:dyDescent="0.25">
      <c r="A33">
        <v>32</v>
      </c>
      <c r="B33" t="s">
        <v>25</v>
      </c>
      <c r="C33" s="3">
        <v>36587</v>
      </c>
      <c r="D33" s="2">
        <f ca="1">DATEDIF(gym_membership[[#This Row],[birthday]],TODAY(),"y")</f>
        <v>26</v>
      </c>
      <c r="E33">
        <v>24</v>
      </c>
      <c r="F33" t="s">
        <v>22</v>
      </c>
      <c r="G33">
        <v>5</v>
      </c>
      <c r="H33" t="s">
        <v>82</v>
      </c>
      <c r="I33" t="s">
        <v>44</v>
      </c>
      <c r="J33" t="s">
        <v>34</v>
      </c>
      <c r="K33" t="s">
        <v>26</v>
      </c>
      <c r="L33" t="s">
        <v>94</v>
      </c>
      <c r="M33" t="s">
        <v>77</v>
      </c>
      <c r="N33" t="b">
        <v>0</v>
      </c>
      <c r="O33" t="s">
        <v>21</v>
      </c>
      <c r="S33" s="1">
        <v>0.87013888888888891</v>
      </c>
      <c r="T33" s="1">
        <v>0.98124999999999996</v>
      </c>
      <c r="U33">
        <v>160</v>
      </c>
      <c r="V33" t="b">
        <v>1</v>
      </c>
      <c r="W33" t="s">
        <v>83</v>
      </c>
      <c r="X33" t="s">
        <v>51</v>
      </c>
      <c r="Y33" t="s">
        <v>65</v>
      </c>
      <c r="Z33" t="b">
        <v>0</v>
      </c>
      <c r="AA33" t="s">
        <v>456</v>
      </c>
      <c r="AB33" t="b">
        <v>0</v>
      </c>
      <c r="AD33" s="2"/>
    </row>
    <row r="34" spans="1:30" x14ac:dyDescent="0.25">
      <c r="A34">
        <v>33</v>
      </c>
      <c r="B34" t="s">
        <v>17</v>
      </c>
      <c r="C34" s="3">
        <v>30008</v>
      </c>
      <c r="D34" s="2">
        <f ca="1">DATEDIF(gym_membership[[#This Row],[birthday]],TODAY(),"y")</f>
        <v>44</v>
      </c>
      <c r="E34">
        <v>42</v>
      </c>
      <c r="F34" t="s">
        <v>18</v>
      </c>
      <c r="G34">
        <v>3</v>
      </c>
      <c r="H34" t="s">
        <v>84</v>
      </c>
      <c r="I34" t="s">
        <v>26</v>
      </c>
      <c r="J34" t="s">
        <v>94</v>
      </c>
      <c r="K34" t="s">
        <v>57</v>
      </c>
      <c r="N34" t="b">
        <v>1</v>
      </c>
      <c r="O34" t="s">
        <v>85</v>
      </c>
      <c r="P34" t="s">
        <v>91</v>
      </c>
      <c r="Q34" t="s">
        <v>67</v>
      </c>
      <c r="S34" s="1">
        <v>0.43263888888888891</v>
      </c>
      <c r="T34" s="1">
        <v>0.50069444444444444</v>
      </c>
      <c r="U34">
        <v>98</v>
      </c>
      <c r="V34" t="b">
        <v>0</v>
      </c>
      <c r="W34" t="s">
        <v>21</v>
      </c>
      <c r="Z34" t="b">
        <v>1</v>
      </c>
      <c r="AA34" t="s">
        <v>24</v>
      </c>
      <c r="AB34" t="b">
        <v>1</v>
      </c>
      <c r="AD34" s="2"/>
    </row>
    <row r="35" spans="1:30" x14ac:dyDescent="0.25">
      <c r="A35">
        <v>34</v>
      </c>
      <c r="B35" t="s">
        <v>17</v>
      </c>
      <c r="C35" s="3">
        <v>28101</v>
      </c>
      <c r="D35" s="2">
        <f ca="1">DATEDIF(gym_membership[[#This Row],[birthday]],TODAY(),"y")</f>
        <v>49</v>
      </c>
      <c r="E35">
        <v>47</v>
      </c>
      <c r="F35" t="s">
        <v>18</v>
      </c>
      <c r="G35">
        <v>2</v>
      </c>
      <c r="H35" t="s">
        <v>86</v>
      </c>
      <c r="I35" t="s">
        <v>34</v>
      </c>
      <c r="J35" t="s">
        <v>26</v>
      </c>
      <c r="N35" t="b">
        <v>1</v>
      </c>
      <c r="O35" t="s">
        <v>87</v>
      </c>
      <c r="P35" t="s">
        <v>27</v>
      </c>
      <c r="Q35" t="s">
        <v>128</v>
      </c>
      <c r="R35" t="s">
        <v>96</v>
      </c>
      <c r="S35" s="1">
        <v>0.61250000000000004</v>
      </c>
      <c r="T35" s="1">
        <v>0.67222222222222228</v>
      </c>
      <c r="U35">
        <v>86</v>
      </c>
      <c r="V35" t="b">
        <v>0</v>
      </c>
      <c r="W35" t="s">
        <v>21</v>
      </c>
      <c r="Z35" t="b">
        <v>1</v>
      </c>
      <c r="AA35" t="s">
        <v>45</v>
      </c>
      <c r="AB35" t="b">
        <v>1</v>
      </c>
      <c r="AD35" s="2"/>
    </row>
    <row r="36" spans="1:30" x14ac:dyDescent="0.25">
      <c r="A36">
        <v>35</v>
      </c>
      <c r="B36" t="s">
        <v>25</v>
      </c>
      <c r="C36" s="3">
        <v>38052</v>
      </c>
      <c r="D36" s="2">
        <f ca="1">DATEDIF(gym_membership[[#This Row],[birthday]],TODAY(),"y")</f>
        <v>22</v>
      </c>
      <c r="E36">
        <v>20</v>
      </c>
      <c r="F36" t="s">
        <v>18</v>
      </c>
      <c r="G36">
        <v>5</v>
      </c>
      <c r="H36" t="s">
        <v>88</v>
      </c>
      <c r="I36" t="s">
        <v>34</v>
      </c>
      <c r="J36" t="s">
        <v>94</v>
      </c>
      <c r="K36" t="s">
        <v>95</v>
      </c>
      <c r="L36" t="s">
        <v>57</v>
      </c>
      <c r="M36" t="s">
        <v>77</v>
      </c>
      <c r="N36" t="b">
        <v>0</v>
      </c>
      <c r="O36" t="s">
        <v>21</v>
      </c>
      <c r="S36" s="1">
        <v>0.76041666666666663</v>
      </c>
      <c r="T36" s="1">
        <v>0.87083333333333335</v>
      </c>
      <c r="U36">
        <v>159</v>
      </c>
      <c r="V36" t="b">
        <v>0</v>
      </c>
      <c r="W36" t="s">
        <v>21</v>
      </c>
      <c r="Z36" t="b">
        <v>1</v>
      </c>
      <c r="AA36" t="s">
        <v>29</v>
      </c>
      <c r="AB36" t="b">
        <v>1</v>
      </c>
      <c r="AD36" s="2"/>
    </row>
    <row r="37" spans="1:30" x14ac:dyDescent="0.25">
      <c r="A37">
        <v>36</v>
      </c>
      <c r="B37" t="s">
        <v>25</v>
      </c>
      <c r="C37" s="3">
        <v>32941</v>
      </c>
      <c r="D37" s="2">
        <f ca="1">DATEDIF(gym_membership[[#This Row],[birthday]],TODAY(),"y")</f>
        <v>36</v>
      </c>
      <c r="E37">
        <v>34</v>
      </c>
      <c r="F37" t="s">
        <v>22</v>
      </c>
      <c r="G37">
        <v>3</v>
      </c>
      <c r="H37" t="s">
        <v>84</v>
      </c>
      <c r="I37" t="s">
        <v>26</v>
      </c>
      <c r="J37" t="s">
        <v>94</v>
      </c>
      <c r="K37" t="s">
        <v>57</v>
      </c>
      <c r="N37" t="b">
        <v>1</v>
      </c>
      <c r="O37" t="s">
        <v>27</v>
      </c>
      <c r="P37" t="s">
        <v>27</v>
      </c>
      <c r="S37" s="1">
        <v>0.56874999999999998</v>
      </c>
      <c r="T37" s="1">
        <v>0.68055555555555558</v>
      </c>
      <c r="U37">
        <v>161</v>
      </c>
      <c r="V37" t="b">
        <v>1</v>
      </c>
      <c r="W37" t="s">
        <v>59</v>
      </c>
      <c r="X37" t="s">
        <v>59</v>
      </c>
      <c r="Z37" t="b">
        <v>0</v>
      </c>
      <c r="AA37" t="s">
        <v>456</v>
      </c>
      <c r="AB37" t="b">
        <v>1</v>
      </c>
      <c r="AD37" s="2"/>
    </row>
    <row r="38" spans="1:30" x14ac:dyDescent="0.25">
      <c r="A38">
        <v>37</v>
      </c>
      <c r="B38" t="s">
        <v>17</v>
      </c>
      <c r="C38" s="3">
        <v>29663</v>
      </c>
      <c r="D38" s="2">
        <f ca="1">DATEDIF(gym_membership[[#This Row],[birthday]],TODAY(),"y")</f>
        <v>45</v>
      </c>
      <c r="E38">
        <v>43</v>
      </c>
      <c r="F38" t="s">
        <v>22</v>
      </c>
      <c r="G38">
        <v>5</v>
      </c>
      <c r="H38" t="s">
        <v>74</v>
      </c>
      <c r="I38" t="s">
        <v>44</v>
      </c>
      <c r="J38" t="s">
        <v>26</v>
      </c>
      <c r="K38" t="s">
        <v>94</v>
      </c>
      <c r="L38" t="s">
        <v>57</v>
      </c>
      <c r="M38" t="s">
        <v>77</v>
      </c>
      <c r="N38" t="b">
        <v>0</v>
      </c>
      <c r="O38" t="s">
        <v>21</v>
      </c>
      <c r="S38" s="1">
        <v>0.37638888888888888</v>
      </c>
      <c r="T38" s="1">
        <v>0.43125000000000002</v>
      </c>
      <c r="U38">
        <v>79</v>
      </c>
      <c r="V38" t="b">
        <v>0</v>
      </c>
      <c r="W38" t="s">
        <v>21</v>
      </c>
      <c r="Z38" t="b">
        <v>0</v>
      </c>
      <c r="AA38" t="s">
        <v>456</v>
      </c>
      <c r="AB38" t="b">
        <v>0</v>
      </c>
      <c r="AD38" s="2"/>
    </row>
    <row r="39" spans="1:30" x14ac:dyDescent="0.25">
      <c r="A39">
        <v>38</v>
      </c>
      <c r="B39" t="s">
        <v>17</v>
      </c>
      <c r="C39" s="3">
        <v>30621</v>
      </c>
      <c r="D39" s="2">
        <f ca="1">DATEDIF(gym_membership[[#This Row],[birthday]],TODAY(),"y")</f>
        <v>42</v>
      </c>
      <c r="E39">
        <v>40</v>
      </c>
      <c r="F39" t="s">
        <v>18</v>
      </c>
      <c r="G39">
        <v>2</v>
      </c>
      <c r="H39" t="s">
        <v>89</v>
      </c>
      <c r="I39" t="s">
        <v>26</v>
      </c>
      <c r="J39" t="s">
        <v>95</v>
      </c>
      <c r="N39" t="b">
        <v>0</v>
      </c>
      <c r="O39" t="s">
        <v>21</v>
      </c>
      <c r="S39" s="1">
        <v>0.36041666666666666</v>
      </c>
      <c r="T39" s="1">
        <v>0.44236111111111109</v>
      </c>
      <c r="U39">
        <v>118</v>
      </c>
      <c r="V39" t="b">
        <v>0</v>
      </c>
      <c r="W39" t="s">
        <v>21</v>
      </c>
      <c r="Z39" t="b">
        <v>0</v>
      </c>
      <c r="AA39" t="s">
        <v>456</v>
      </c>
      <c r="AB39" t="b">
        <v>0</v>
      </c>
      <c r="AD39" s="2"/>
    </row>
    <row r="40" spans="1:30" x14ac:dyDescent="0.25">
      <c r="A40">
        <v>39</v>
      </c>
      <c r="B40" t="s">
        <v>25</v>
      </c>
      <c r="C40" s="3">
        <v>29407</v>
      </c>
      <c r="D40" s="2">
        <f ca="1">DATEDIF(gym_membership[[#This Row],[birthday]],TODAY(),"y")</f>
        <v>46</v>
      </c>
      <c r="E40">
        <v>44</v>
      </c>
      <c r="F40" t="s">
        <v>18</v>
      </c>
      <c r="G40">
        <v>1</v>
      </c>
      <c r="H40" t="s">
        <v>77</v>
      </c>
      <c r="I40" t="s">
        <v>77</v>
      </c>
      <c r="N40" t="b">
        <v>0</v>
      </c>
      <c r="O40" t="s">
        <v>21</v>
      </c>
      <c r="S40" s="1">
        <v>0.86319444444444449</v>
      </c>
      <c r="T40" s="1">
        <v>0.95694444444444449</v>
      </c>
      <c r="U40">
        <v>135</v>
      </c>
      <c r="V40" t="b">
        <v>1</v>
      </c>
      <c r="W40" t="s">
        <v>90</v>
      </c>
      <c r="X40" t="s">
        <v>39</v>
      </c>
      <c r="Y40" t="s">
        <v>76</v>
      </c>
      <c r="Z40" t="b">
        <v>0</v>
      </c>
      <c r="AA40" t="s">
        <v>456</v>
      </c>
      <c r="AB40" t="b">
        <v>0</v>
      </c>
      <c r="AD40" s="2"/>
    </row>
    <row r="41" spans="1:30" x14ac:dyDescent="0.25">
      <c r="A41">
        <v>40</v>
      </c>
      <c r="B41" t="s">
        <v>17</v>
      </c>
      <c r="C41" s="3">
        <v>38736</v>
      </c>
      <c r="D41" s="2">
        <f ca="1">DATEDIF(gym_membership[[#This Row],[birthday]],TODAY(),"y")</f>
        <v>20</v>
      </c>
      <c r="E41">
        <v>18</v>
      </c>
      <c r="F41" t="s">
        <v>18</v>
      </c>
      <c r="G41">
        <v>2</v>
      </c>
      <c r="H41" t="s">
        <v>66</v>
      </c>
      <c r="I41" t="s">
        <v>34</v>
      </c>
      <c r="J41" t="s">
        <v>57</v>
      </c>
      <c r="N41" t="b">
        <v>1</v>
      </c>
      <c r="O41" t="s">
        <v>91</v>
      </c>
      <c r="P41" t="s">
        <v>91</v>
      </c>
      <c r="S41" s="1">
        <v>0.43472222222222223</v>
      </c>
      <c r="T41" s="1">
        <v>0.50902777777777775</v>
      </c>
      <c r="U41">
        <v>107</v>
      </c>
      <c r="V41" t="b">
        <v>1</v>
      </c>
      <c r="W41" t="s">
        <v>92</v>
      </c>
      <c r="X41" t="s">
        <v>31</v>
      </c>
      <c r="Y41" t="s">
        <v>51</v>
      </c>
      <c r="Z41" t="b">
        <v>0</v>
      </c>
      <c r="AA41" t="s">
        <v>456</v>
      </c>
      <c r="AB41" t="b">
        <v>1</v>
      </c>
      <c r="AD41" s="2"/>
    </row>
    <row r="42" spans="1:30" x14ac:dyDescent="0.25">
      <c r="A42">
        <v>41</v>
      </c>
      <c r="B42" t="s">
        <v>17</v>
      </c>
      <c r="C42" s="3">
        <v>39610</v>
      </c>
      <c r="D42" s="2">
        <f ca="1">DATEDIF(gym_membership[[#This Row],[birthday]],TODAY(),"y")</f>
        <v>18</v>
      </c>
      <c r="E42">
        <v>16</v>
      </c>
      <c r="F42" t="s">
        <v>18</v>
      </c>
      <c r="G42">
        <v>3</v>
      </c>
      <c r="H42" t="s">
        <v>93</v>
      </c>
      <c r="I42" t="s">
        <v>34</v>
      </c>
      <c r="J42" t="s">
        <v>94</v>
      </c>
      <c r="K42" t="s">
        <v>57</v>
      </c>
      <c r="N42" t="b">
        <v>0</v>
      </c>
      <c r="O42" t="s">
        <v>21</v>
      </c>
      <c r="S42" s="1">
        <v>0.6694444444444444</v>
      </c>
      <c r="T42" s="1">
        <v>0.74375000000000002</v>
      </c>
      <c r="U42">
        <v>107</v>
      </c>
      <c r="V42" t="b">
        <v>1</v>
      </c>
      <c r="W42" t="s">
        <v>39</v>
      </c>
      <c r="X42" t="s">
        <v>39</v>
      </c>
      <c r="Z42" t="b">
        <v>1</v>
      </c>
      <c r="AA42" t="s">
        <v>45</v>
      </c>
      <c r="AB42" t="b">
        <v>1</v>
      </c>
      <c r="AD42" s="2"/>
    </row>
    <row r="43" spans="1:30" x14ac:dyDescent="0.25">
      <c r="A43">
        <v>42</v>
      </c>
      <c r="B43" t="s">
        <v>17</v>
      </c>
      <c r="C43" s="3">
        <v>32697</v>
      </c>
      <c r="D43" s="2">
        <f ca="1">DATEDIF(gym_membership[[#This Row],[birthday]],TODAY(),"y")</f>
        <v>37</v>
      </c>
      <c r="E43">
        <v>35</v>
      </c>
      <c r="F43" t="s">
        <v>22</v>
      </c>
      <c r="G43">
        <v>1</v>
      </c>
      <c r="H43" t="s">
        <v>94</v>
      </c>
      <c r="I43" t="s">
        <v>94</v>
      </c>
      <c r="N43" t="b">
        <v>0</v>
      </c>
      <c r="O43" t="s">
        <v>21</v>
      </c>
      <c r="S43" s="1">
        <v>0.40138888888888891</v>
      </c>
      <c r="T43" s="1">
        <v>0.44166666666666665</v>
      </c>
      <c r="U43">
        <v>58</v>
      </c>
      <c r="V43" t="b">
        <v>0</v>
      </c>
      <c r="W43" t="s">
        <v>21</v>
      </c>
      <c r="Z43" t="b">
        <v>0</v>
      </c>
      <c r="AA43" t="s">
        <v>456</v>
      </c>
      <c r="AB43" t="b">
        <v>0</v>
      </c>
      <c r="AD43" s="2"/>
    </row>
    <row r="44" spans="1:30" x14ac:dyDescent="0.25">
      <c r="A44">
        <v>43</v>
      </c>
      <c r="B44" t="s">
        <v>17</v>
      </c>
      <c r="C44" s="3">
        <v>34876</v>
      </c>
      <c r="D44" s="2">
        <f ca="1">DATEDIF(gym_membership[[#This Row],[birthday]],TODAY(),"y")</f>
        <v>31</v>
      </c>
      <c r="E44">
        <v>29</v>
      </c>
      <c r="F44" t="s">
        <v>18</v>
      </c>
      <c r="G44">
        <v>1</v>
      </c>
      <c r="H44" t="s">
        <v>95</v>
      </c>
      <c r="I44" t="s">
        <v>95</v>
      </c>
      <c r="N44" t="b">
        <v>1</v>
      </c>
      <c r="O44" t="s">
        <v>96</v>
      </c>
      <c r="P44" t="s">
        <v>96</v>
      </c>
      <c r="S44" s="1">
        <v>0.43402777777777779</v>
      </c>
      <c r="T44" s="1">
        <v>0.50277777777777777</v>
      </c>
      <c r="U44">
        <v>99</v>
      </c>
      <c r="V44" t="b">
        <v>1</v>
      </c>
      <c r="W44" t="s">
        <v>83</v>
      </c>
      <c r="X44" t="s">
        <v>51</v>
      </c>
      <c r="Y44" t="s">
        <v>65</v>
      </c>
      <c r="Z44" t="b">
        <v>1</v>
      </c>
      <c r="AA44" t="s">
        <v>24</v>
      </c>
      <c r="AB44" t="b">
        <v>0</v>
      </c>
      <c r="AD44" s="2"/>
    </row>
    <row r="45" spans="1:30" x14ac:dyDescent="0.25">
      <c r="A45">
        <v>44</v>
      </c>
      <c r="B45" t="s">
        <v>17</v>
      </c>
      <c r="C45" s="3">
        <v>35160</v>
      </c>
      <c r="D45" s="2">
        <f ca="1">DATEDIF(gym_membership[[#This Row],[birthday]],TODAY(),"y")</f>
        <v>30</v>
      </c>
      <c r="E45">
        <v>28</v>
      </c>
      <c r="F45" t="s">
        <v>22</v>
      </c>
      <c r="G45">
        <v>1</v>
      </c>
      <c r="H45" t="s">
        <v>94</v>
      </c>
      <c r="I45" t="s">
        <v>94</v>
      </c>
      <c r="N45" t="b">
        <v>0</v>
      </c>
      <c r="O45" t="s">
        <v>21</v>
      </c>
      <c r="S45" s="1">
        <v>0.49236111111111114</v>
      </c>
      <c r="T45" s="1">
        <v>0.59097222222222223</v>
      </c>
      <c r="U45">
        <v>142</v>
      </c>
      <c r="V45" t="b">
        <v>1</v>
      </c>
      <c r="W45" t="s">
        <v>97</v>
      </c>
      <c r="X45" t="s">
        <v>39</v>
      </c>
      <c r="Y45" t="s">
        <v>31</v>
      </c>
      <c r="Z45" t="b">
        <v>1</v>
      </c>
      <c r="AA45" t="s">
        <v>45</v>
      </c>
      <c r="AB45" t="b">
        <v>1</v>
      </c>
      <c r="AD45" s="2"/>
    </row>
    <row r="46" spans="1:30" x14ac:dyDescent="0.25">
      <c r="A46">
        <v>45</v>
      </c>
      <c r="B46" t="s">
        <v>25</v>
      </c>
      <c r="C46" s="3">
        <v>27778</v>
      </c>
      <c r="D46" s="2">
        <f ca="1">DATEDIF(gym_membership[[#This Row],[birthday]],TODAY(),"y")</f>
        <v>50</v>
      </c>
      <c r="E46">
        <v>48</v>
      </c>
      <c r="F46" t="s">
        <v>18</v>
      </c>
      <c r="G46">
        <v>2</v>
      </c>
      <c r="H46" t="s">
        <v>98</v>
      </c>
      <c r="I46" t="s">
        <v>57</v>
      </c>
      <c r="J46" t="s">
        <v>77</v>
      </c>
      <c r="N46" t="b">
        <v>0</v>
      </c>
      <c r="O46" t="s">
        <v>21</v>
      </c>
      <c r="S46" s="1">
        <v>0.41458333333333336</v>
      </c>
      <c r="T46" s="1">
        <v>0.52430555555555558</v>
      </c>
      <c r="U46">
        <v>158</v>
      </c>
      <c r="V46" t="b">
        <v>0</v>
      </c>
      <c r="W46" t="s">
        <v>21</v>
      </c>
      <c r="Z46" t="b">
        <v>1</v>
      </c>
      <c r="AA46" t="s">
        <v>45</v>
      </c>
      <c r="AB46" t="b">
        <v>1</v>
      </c>
      <c r="AD46" s="2"/>
    </row>
    <row r="47" spans="1:30" x14ac:dyDescent="0.25">
      <c r="A47">
        <v>46</v>
      </c>
      <c r="B47" t="s">
        <v>17</v>
      </c>
      <c r="C47" s="3">
        <v>29728</v>
      </c>
      <c r="D47" s="2">
        <f ca="1">DATEDIF(gym_membership[[#This Row],[birthday]],TODAY(),"y")</f>
        <v>45</v>
      </c>
      <c r="E47">
        <v>43</v>
      </c>
      <c r="F47" t="s">
        <v>22</v>
      </c>
      <c r="G47">
        <v>4</v>
      </c>
      <c r="H47" t="s">
        <v>99</v>
      </c>
      <c r="I47" t="s">
        <v>44</v>
      </c>
      <c r="J47" t="s">
        <v>34</v>
      </c>
      <c r="K47" t="s">
        <v>26</v>
      </c>
      <c r="L47" t="s">
        <v>57</v>
      </c>
      <c r="N47" t="b">
        <v>1</v>
      </c>
      <c r="O47" t="s">
        <v>100</v>
      </c>
      <c r="P47" t="s">
        <v>100</v>
      </c>
      <c r="S47" s="1">
        <v>0.77847222222222223</v>
      </c>
      <c r="T47" s="1">
        <v>0.9</v>
      </c>
      <c r="U47">
        <v>175</v>
      </c>
      <c r="V47" t="b">
        <v>0</v>
      </c>
      <c r="W47" t="s">
        <v>21</v>
      </c>
      <c r="Z47" t="b">
        <v>1</v>
      </c>
      <c r="AA47" t="s">
        <v>45</v>
      </c>
      <c r="AB47" t="b">
        <v>0</v>
      </c>
      <c r="AD47" s="2"/>
    </row>
    <row r="48" spans="1:30" x14ac:dyDescent="0.25">
      <c r="A48">
        <v>47</v>
      </c>
      <c r="B48" t="s">
        <v>25</v>
      </c>
      <c r="C48" s="3">
        <v>32571</v>
      </c>
      <c r="D48" s="2">
        <f ca="1">DATEDIF(gym_membership[[#This Row],[birthday]],TODAY(),"y")</f>
        <v>37</v>
      </c>
      <c r="E48">
        <v>35</v>
      </c>
      <c r="F48" t="s">
        <v>22</v>
      </c>
      <c r="G48">
        <v>3</v>
      </c>
      <c r="H48" t="s">
        <v>101</v>
      </c>
      <c r="I48" t="s">
        <v>94</v>
      </c>
      <c r="J48" t="s">
        <v>57</v>
      </c>
      <c r="K48" t="s">
        <v>77</v>
      </c>
      <c r="N48" t="b">
        <v>0</v>
      </c>
      <c r="O48" t="s">
        <v>21</v>
      </c>
      <c r="S48" s="1">
        <v>0.62638888888888888</v>
      </c>
      <c r="T48" s="1">
        <v>0.68680555555555556</v>
      </c>
      <c r="U48">
        <v>87</v>
      </c>
      <c r="V48" t="b">
        <v>0</v>
      </c>
      <c r="W48" t="s">
        <v>21</v>
      </c>
      <c r="Z48" t="b">
        <v>0</v>
      </c>
      <c r="AA48" t="s">
        <v>456</v>
      </c>
      <c r="AB48" t="b">
        <v>0</v>
      </c>
      <c r="AD48" s="2"/>
    </row>
    <row r="49" spans="1:30" x14ac:dyDescent="0.25">
      <c r="A49">
        <v>48</v>
      </c>
      <c r="B49" t="s">
        <v>25</v>
      </c>
      <c r="C49" s="3">
        <v>35749</v>
      </c>
      <c r="D49" s="2">
        <f ca="1">DATEDIF(gym_membership[[#This Row],[birthday]],TODAY(),"y")</f>
        <v>28</v>
      </c>
      <c r="E49">
        <v>26</v>
      </c>
      <c r="F49" t="s">
        <v>18</v>
      </c>
      <c r="G49">
        <v>5</v>
      </c>
      <c r="H49" t="s">
        <v>102</v>
      </c>
      <c r="I49" t="s">
        <v>44</v>
      </c>
      <c r="J49" t="s">
        <v>34</v>
      </c>
      <c r="K49" t="s">
        <v>94</v>
      </c>
      <c r="L49" t="s">
        <v>95</v>
      </c>
      <c r="M49" t="s">
        <v>57</v>
      </c>
      <c r="N49" t="b">
        <v>1</v>
      </c>
      <c r="O49" t="s">
        <v>103</v>
      </c>
      <c r="P49" t="s">
        <v>103</v>
      </c>
      <c r="S49" s="1">
        <v>0.68680555555555556</v>
      </c>
      <c r="T49" s="1">
        <v>0.78125</v>
      </c>
      <c r="U49">
        <v>136</v>
      </c>
      <c r="V49" t="b">
        <v>0</v>
      </c>
      <c r="W49" t="s">
        <v>21</v>
      </c>
      <c r="Z49" t="b">
        <v>1</v>
      </c>
      <c r="AA49" t="s">
        <v>43</v>
      </c>
      <c r="AB49" t="b">
        <v>1</v>
      </c>
      <c r="AD49" s="2"/>
    </row>
    <row r="50" spans="1:30" x14ac:dyDescent="0.25">
      <c r="A50">
        <v>49</v>
      </c>
      <c r="B50" t="s">
        <v>17</v>
      </c>
      <c r="C50" s="3">
        <v>27690</v>
      </c>
      <c r="D50" s="2">
        <f ca="1">DATEDIF(gym_membership[[#This Row],[birthday]],TODAY(),"y")</f>
        <v>50</v>
      </c>
      <c r="E50">
        <v>48</v>
      </c>
      <c r="F50" t="s">
        <v>18</v>
      </c>
      <c r="G50">
        <v>3</v>
      </c>
      <c r="H50" t="s">
        <v>104</v>
      </c>
      <c r="I50" t="s">
        <v>44</v>
      </c>
      <c r="J50" t="s">
        <v>95</v>
      </c>
      <c r="K50" t="s">
        <v>57</v>
      </c>
      <c r="N50" t="b">
        <v>1</v>
      </c>
      <c r="O50" t="s">
        <v>105</v>
      </c>
      <c r="P50" t="s">
        <v>103</v>
      </c>
      <c r="Q50" t="s">
        <v>96</v>
      </c>
      <c r="S50" s="1">
        <v>0.49722222222222223</v>
      </c>
      <c r="T50" s="1">
        <v>0.59236111111111112</v>
      </c>
      <c r="U50">
        <v>137</v>
      </c>
      <c r="V50" t="b">
        <v>0</v>
      </c>
      <c r="W50" t="s">
        <v>21</v>
      </c>
      <c r="Z50" t="b">
        <v>1</v>
      </c>
      <c r="AA50" t="s">
        <v>24</v>
      </c>
      <c r="AB50" t="b">
        <v>1</v>
      </c>
      <c r="AD50" s="2"/>
    </row>
    <row r="51" spans="1:30" x14ac:dyDescent="0.25">
      <c r="A51">
        <v>50</v>
      </c>
      <c r="B51" t="s">
        <v>17</v>
      </c>
      <c r="C51" s="3">
        <v>29218</v>
      </c>
      <c r="D51" s="2">
        <f ca="1">DATEDIF(gym_membership[[#This Row],[birthday]],TODAY(),"y")</f>
        <v>46</v>
      </c>
      <c r="E51">
        <v>44</v>
      </c>
      <c r="F51" t="s">
        <v>18</v>
      </c>
      <c r="G51">
        <v>2</v>
      </c>
      <c r="H51" t="s">
        <v>106</v>
      </c>
      <c r="I51" t="s">
        <v>26</v>
      </c>
      <c r="J51" t="s">
        <v>57</v>
      </c>
      <c r="N51" t="b">
        <v>1</v>
      </c>
      <c r="O51" t="s">
        <v>107</v>
      </c>
      <c r="P51" t="s">
        <v>41</v>
      </c>
      <c r="Q51" t="s">
        <v>72</v>
      </c>
      <c r="S51" s="1">
        <v>0.37083333333333335</v>
      </c>
      <c r="T51" s="1">
        <v>0.4826388888888889</v>
      </c>
      <c r="U51">
        <v>161</v>
      </c>
      <c r="V51" t="b">
        <v>1</v>
      </c>
      <c r="W51" t="s">
        <v>108</v>
      </c>
      <c r="X51" t="s">
        <v>51</v>
      </c>
      <c r="Y51" t="s">
        <v>31</v>
      </c>
      <c r="Z51" t="b">
        <v>0</v>
      </c>
      <c r="AA51" t="s">
        <v>456</v>
      </c>
      <c r="AB51" t="b">
        <v>1</v>
      </c>
      <c r="AD51" s="2"/>
    </row>
    <row r="52" spans="1:30" x14ac:dyDescent="0.25">
      <c r="A52">
        <v>51</v>
      </c>
      <c r="B52" t="s">
        <v>25</v>
      </c>
      <c r="C52" s="3">
        <v>29053</v>
      </c>
      <c r="D52" s="2">
        <f ca="1">DATEDIF(gym_membership[[#This Row],[birthday]],TODAY(),"y")</f>
        <v>47</v>
      </c>
      <c r="E52">
        <v>45</v>
      </c>
      <c r="F52" t="s">
        <v>22</v>
      </c>
      <c r="G52">
        <v>3</v>
      </c>
      <c r="H52" t="s">
        <v>109</v>
      </c>
      <c r="I52" t="s">
        <v>34</v>
      </c>
      <c r="J52" t="s">
        <v>94</v>
      </c>
      <c r="K52" t="s">
        <v>95</v>
      </c>
      <c r="N52" t="b">
        <v>0</v>
      </c>
      <c r="O52" t="s">
        <v>21</v>
      </c>
      <c r="S52" s="1">
        <v>0.40486111111111112</v>
      </c>
      <c r="T52" s="1">
        <v>0.46944444444444444</v>
      </c>
      <c r="U52">
        <v>93</v>
      </c>
      <c r="V52" t="b">
        <v>1</v>
      </c>
      <c r="W52" t="s">
        <v>97</v>
      </c>
      <c r="X52" t="s">
        <v>39</v>
      </c>
      <c r="Y52" t="s">
        <v>31</v>
      </c>
      <c r="Z52" t="b">
        <v>0</v>
      </c>
      <c r="AA52" t="s">
        <v>456</v>
      </c>
      <c r="AB52" t="b">
        <v>1</v>
      </c>
      <c r="AD52" s="2"/>
    </row>
    <row r="53" spans="1:30" x14ac:dyDescent="0.25">
      <c r="A53">
        <v>52</v>
      </c>
      <c r="B53" t="s">
        <v>25</v>
      </c>
      <c r="C53" s="3">
        <v>35176</v>
      </c>
      <c r="D53" s="2">
        <f ca="1">DATEDIF(gym_membership[[#This Row],[birthday]],TODAY(),"y")</f>
        <v>30</v>
      </c>
      <c r="E53">
        <v>28</v>
      </c>
      <c r="F53" t="s">
        <v>18</v>
      </c>
      <c r="G53">
        <v>2</v>
      </c>
      <c r="H53" t="s">
        <v>60</v>
      </c>
      <c r="I53" t="s">
        <v>26</v>
      </c>
      <c r="J53" t="s">
        <v>77</v>
      </c>
      <c r="N53" t="b">
        <v>1</v>
      </c>
      <c r="O53" t="s">
        <v>110</v>
      </c>
      <c r="P53" t="s">
        <v>41</v>
      </c>
      <c r="Q53" t="s">
        <v>103</v>
      </c>
      <c r="S53" s="1">
        <v>0.87361111111111112</v>
      </c>
      <c r="T53" s="1">
        <v>0.93055555555555558</v>
      </c>
      <c r="U53">
        <v>82</v>
      </c>
      <c r="V53" t="b">
        <v>0</v>
      </c>
      <c r="W53" t="s">
        <v>21</v>
      </c>
      <c r="Z53" t="b">
        <v>0</v>
      </c>
      <c r="AA53" t="s">
        <v>456</v>
      </c>
      <c r="AB53" t="b">
        <v>1</v>
      </c>
      <c r="AD53" s="2"/>
    </row>
    <row r="54" spans="1:30" x14ac:dyDescent="0.25">
      <c r="A54">
        <v>53</v>
      </c>
      <c r="B54" t="s">
        <v>17</v>
      </c>
      <c r="C54" s="3">
        <v>38185</v>
      </c>
      <c r="D54" s="2">
        <f ca="1">DATEDIF(gym_membership[[#This Row],[birthday]],TODAY(),"y")</f>
        <v>22</v>
      </c>
      <c r="E54">
        <v>20</v>
      </c>
      <c r="F54" t="s">
        <v>18</v>
      </c>
      <c r="G54">
        <v>2</v>
      </c>
      <c r="H54" t="s">
        <v>111</v>
      </c>
      <c r="I54" t="s">
        <v>94</v>
      </c>
      <c r="J54" t="s">
        <v>95</v>
      </c>
      <c r="N54" t="b">
        <v>1</v>
      </c>
      <c r="O54" t="s">
        <v>112</v>
      </c>
      <c r="P54" t="s">
        <v>96</v>
      </c>
      <c r="Q54" t="s">
        <v>128</v>
      </c>
      <c r="S54" s="1">
        <v>0.39305555555555555</v>
      </c>
      <c r="T54" s="1">
        <v>0.44097222222222221</v>
      </c>
      <c r="U54">
        <v>69</v>
      </c>
      <c r="V54" t="b">
        <v>0</v>
      </c>
      <c r="W54" t="s">
        <v>21</v>
      </c>
      <c r="Z54" t="b">
        <v>0</v>
      </c>
      <c r="AA54" t="s">
        <v>456</v>
      </c>
      <c r="AB54" t="b">
        <v>0</v>
      </c>
      <c r="AD54" s="2"/>
    </row>
    <row r="55" spans="1:30" x14ac:dyDescent="0.25">
      <c r="A55">
        <v>54</v>
      </c>
      <c r="B55" t="s">
        <v>17</v>
      </c>
      <c r="C55" s="3">
        <v>29552</v>
      </c>
      <c r="D55" s="2">
        <f ca="1">DATEDIF(gym_membership[[#This Row],[birthday]],TODAY(),"y")</f>
        <v>45</v>
      </c>
      <c r="E55">
        <v>43</v>
      </c>
      <c r="F55" t="s">
        <v>22</v>
      </c>
      <c r="G55">
        <v>4</v>
      </c>
      <c r="H55" t="s">
        <v>113</v>
      </c>
      <c r="I55" t="s">
        <v>44</v>
      </c>
      <c r="J55" t="s">
        <v>34</v>
      </c>
      <c r="K55" t="s">
        <v>26</v>
      </c>
      <c r="L55" t="s">
        <v>95</v>
      </c>
      <c r="N55" t="b">
        <v>1</v>
      </c>
      <c r="O55" t="s">
        <v>58</v>
      </c>
      <c r="P55" t="s">
        <v>58</v>
      </c>
      <c r="S55" s="1">
        <v>0.85833333333333328</v>
      </c>
      <c r="T55" s="1">
        <v>0.97013888888888888</v>
      </c>
      <c r="U55">
        <v>161</v>
      </c>
      <c r="V55" t="b">
        <v>1</v>
      </c>
      <c r="W55" t="s">
        <v>114</v>
      </c>
      <c r="X55" t="s">
        <v>59</v>
      </c>
      <c r="Y55" t="s">
        <v>76</v>
      </c>
      <c r="Z55" t="b">
        <v>1</v>
      </c>
      <c r="AA55" t="s">
        <v>29</v>
      </c>
      <c r="AB55" t="b">
        <v>0</v>
      </c>
      <c r="AD55" s="2"/>
    </row>
    <row r="56" spans="1:30" x14ac:dyDescent="0.25">
      <c r="A56">
        <v>55</v>
      </c>
      <c r="B56" t="s">
        <v>25</v>
      </c>
      <c r="C56" s="3">
        <v>36529</v>
      </c>
      <c r="D56" s="2">
        <f ca="1">DATEDIF(gym_membership[[#This Row],[birthday]],TODAY(),"y")</f>
        <v>26</v>
      </c>
      <c r="E56">
        <v>24</v>
      </c>
      <c r="F56" t="s">
        <v>22</v>
      </c>
      <c r="G56">
        <v>2</v>
      </c>
      <c r="H56" t="s">
        <v>111</v>
      </c>
      <c r="I56" t="s">
        <v>94</v>
      </c>
      <c r="J56" t="s">
        <v>95</v>
      </c>
      <c r="N56" t="b">
        <v>1</v>
      </c>
      <c r="O56" t="s">
        <v>115</v>
      </c>
      <c r="P56" t="s">
        <v>100</v>
      </c>
      <c r="Q56" t="s">
        <v>120</v>
      </c>
      <c r="R56" t="s">
        <v>91</v>
      </c>
      <c r="S56" s="1">
        <v>0.65902777777777777</v>
      </c>
      <c r="T56" s="1">
        <v>0.77152777777777781</v>
      </c>
      <c r="U56">
        <v>162</v>
      </c>
      <c r="V56" t="b">
        <v>1</v>
      </c>
      <c r="W56" t="s">
        <v>51</v>
      </c>
      <c r="X56" t="s">
        <v>51</v>
      </c>
      <c r="Z56" t="b">
        <v>1</v>
      </c>
      <c r="AA56" t="s">
        <v>24</v>
      </c>
      <c r="AB56" t="b">
        <v>1</v>
      </c>
      <c r="AD56" s="2"/>
    </row>
    <row r="57" spans="1:30" x14ac:dyDescent="0.25">
      <c r="A57">
        <v>56</v>
      </c>
      <c r="B57" t="s">
        <v>25</v>
      </c>
      <c r="C57" s="3">
        <v>37463</v>
      </c>
      <c r="D57" s="2">
        <f ca="1">DATEDIF(gym_membership[[#This Row],[birthday]],TODAY(),"y")</f>
        <v>24</v>
      </c>
      <c r="E57">
        <v>22</v>
      </c>
      <c r="F57" t="s">
        <v>22</v>
      </c>
      <c r="G57">
        <v>3</v>
      </c>
      <c r="H57" t="s">
        <v>116</v>
      </c>
      <c r="I57" t="s">
        <v>44</v>
      </c>
      <c r="J57" t="s">
        <v>94</v>
      </c>
      <c r="K57" t="s">
        <v>57</v>
      </c>
      <c r="N57" t="b">
        <v>0</v>
      </c>
      <c r="O57" t="s">
        <v>21</v>
      </c>
      <c r="S57" s="1">
        <v>0.71736111111111112</v>
      </c>
      <c r="T57" s="1">
        <v>0.76666666666666672</v>
      </c>
      <c r="U57">
        <v>71</v>
      </c>
      <c r="V57" t="b">
        <v>0</v>
      </c>
      <c r="W57" t="s">
        <v>21</v>
      </c>
      <c r="Z57" t="b">
        <v>0</v>
      </c>
      <c r="AA57" t="s">
        <v>456</v>
      </c>
      <c r="AB57" t="b">
        <v>1</v>
      </c>
      <c r="AD57" s="2"/>
    </row>
    <row r="58" spans="1:30" x14ac:dyDescent="0.25">
      <c r="A58">
        <v>57</v>
      </c>
      <c r="B58" t="s">
        <v>17</v>
      </c>
      <c r="C58" s="3">
        <v>37054</v>
      </c>
      <c r="D58" s="2">
        <f ca="1">DATEDIF(gym_membership[[#This Row],[birthday]],TODAY(),"y")</f>
        <v>25</v>
      </c>
      <c r="E58">
        <v>23</v>
      </c>
      <c r="F58" t="s">
        <v>22</v>
      </c>
      <c r="G58">
        <v>3</v>
      </c>
      <c r="H58" t="s">
        <v>35</v>
      </c>
      <c r="I58" t="s">
        <v>26</v>
      </c>
      <c r="J58" t="s">
        <v>95</v>
      </c>
      <c r="K58" t="s">
        <v>77</v>
      </c>
      <c r="N58" t="b">
        <v>0</v>
      </c>
      <c r="O58" t="s">
        <v>21</v>
      </c>
      <c r="S58" s="1">
        <v>0.35833333333333334</v>
      </c>
      <c r="T58" s="1">
        <v>0.47083333333333333</v>
      </c>
      <c r="U58">
        <v>162</v>
      </c>
      <c r="V58" t="b">
        <v>0</v>
      </c>
      <c r="W58" t="s">
        <v>21</v>
      </c>
      <c r="Z58" t="b">
        <v>0</v>
      </c>
      <c r="AA58" t="s">
        <v>456</v>
      </c>
      <c r="AB58" t="b">
        <v>0</v>
      </c>
      <c r="AD58" s="2"/>
    </row>
    <row r="59" spans="1:30" x14ac:dyDescent="0.25">
      <c r="A59">
        <v>58</v>
      </c>
      <c r="B59" t="s">
        <v>25</v>
      </c>
      <c r="C59" s="3">
        <v>28489</v>
      </c>
      <c r="D59" s="2">
        <f ca="1">DATEDIF(gym_membership[[#This Row],[birthday]],TODAY(),"y")</f>
        <v>48</v>
      </c>
      <c r="E59">
        <v>46</v>
      </c>
      <c r="F59" t="s">
        <v>18</v>
      </c>
      <c r="G59">
        <v>5</v>
      </c>
      <c r="H59" t="s">
        <v>117</v>
      </c>
      <c r="I59" t="s">
        <v>44</v>
      </c>
      <c r="J59" t="s">
        <v>34</v>
      </c>
      <c r="K59" t="s">
        <v>26</v>
      </c>
      <c r="L59" t="s">
        <v>95</v>
      </c>
      <c r="M59" t="s">
        <v>57</v>
      </c>
      <c r="N59" t="b">
        <v>1</v>
      </c>
      <c r="O59" t="s">
        <v>118</v>
      </c>
      <c r="P59" t="s">
        <v>96</v>
      </c>
      <c r="Q59" t="s">
        <v>41</v>
      </c>
      <c r="S59" s="1">
        <v>0.5131944444444444</v>
      </c>
      <c r="T59" s="1">
        <v>0.53402777777777777</v>
      </c>
      <c r="U59">
        <v>30</v>
      </c>
      <c r="V59" t="b">
        <v>0</v>
      </c>
      <c r="W59" t="s">
        <v>21</v>
      </c>
      <c r="Z59" t="b">
        <v>1</v>
      </c>
      <c r="AA59" t="s">
        <v>24</v>
      </c>
      <c r="AB59" t="b">
        <v>1</v>
      </c>
      <c r="AD59" s="2"/>
    </row>
    <row r="60" spans="1:30" x14ac:dyDescent="0.25">
      <c r="A60">
        <v>59</v>
      </c>
      <c r="B60" t="s">
        <v>25</v>
      </c>
      <c r="C60" s="3">
        <v>39274</v>
      </c>
      <c r="D60" s="2">
        <f ca="1">DATEDIF(gym_membership[[#This Row],[birthday]],TODAY(),"y")</f>
        <v>19</v>
      </c>
      <c r="E60">
        <v>17</v>
      </c>
      <c r="F60" t="s">
        <v>18</v>
      </c>
      <c r="G60">
        <v>2</v>
      </c>
      <c r="H60" t="s">
        <v>119</v>
      </c>
      <c r="I60" t="s">
        <v>44</v>
      </c>
      <c r="J60" t="s">
        <v>57</v>
      </c>
      <c r="N60" t="b">
        <v>1</v>
      </c>
      <c r="O60" t="s">
        <v>120</v>
      </c>
      <c r="P60" t="s">
        <v>120</v>
      </c>
      <c r="S60" s="1">
        <v>0.44444444444444442</v>
      </c>
      <c r="T60" s="1">
        <v>0.50416666666666665</v>
      </c>
      <c r="U60">
        <v>86</v>
      </c>
      <c r="V60" t="b">
        <v>0</v>
      </c>
      <c r="W60" t="s">
        <v>21</v>
      </c>
      <c r="Z60" t="b">
        <v>0</v>
      </c>
      <c r="AA60" t="s">
        <v>456</v>
      </c>
      <c r="AB60" t="b">
        <v>1</v>
      </c>
      <c r="AD60" s="2"/>
    </row>
    <row r="61" spans="1:30" x14ac:dyDescent="0.25">
      <c r="A61">
        <v>60</v>
      </c>
      <c r="B61" t="s">
        <v>17</v>
      </c>
      <c r="C61" s="3">
        <v>32375</v>
      </c>
      <c r="D61" s="2">
        <f ca="1">DATEDIF(gym_membership[[#This Row],[birthday]],TODAY(),"y")</f>
        <v>38</v>
      </c>
      <c r="E61">
        <v>36</v>
      </c>
      <c r="F61" t="s">
        <v>22</v>
      </c>
      <c r="G61">
        <v>2</v>
      </c>
      <c r="H61" t="s">
        <v>89</v>
      </c>
      <c r="I61" t="s">
        <v>26</v>
      </c>
      <c r="J61" t="s">
        <v>95</v>
      </c>
      <c r="N61" t="b">
        <v>1</v>
      </c>
      <c r="O61" t="s">
        <v>121</v>
      </c>
      <c r="P61" t="s">
        <v>27</v>
      </c>
      <c r="Q61" t="s">
        <v>72</v>
      </c>
      <c r="S61" s="1">
        <v>0.81805555555555554</v>
      </c>
      <c r="T61" s="1">
        <v>0.90277777777777779</v>
      </c>
      <c r="U61">
        <v>122</v>
      </c>
      <c r="V61" t="b">
        <v>1</v>
      </c>
      <c r="W61" t="s">
        <v>59</v>
      </c>
      <c r="X61" t="s">
        <v>59</v>
      </c>
      <c r="Z61" t="b">
        <v>1</v>
      </c>
      <c r="AA61" t="s">
        <v>24</v>
      </c>
      <c r="AB61" t="b">
        <v>1</v>
      </c>
      <c r="AD61" s="2"/>
    </row>
    <row r="62" spans="1:30" x14ac:dyDescent="0.25">
      <c r="A62">
        <v>61</v>
      </c>
      <c r="B62" t="s">
        <v>17</v>
      </c>
      <c r="C62" s="3">
        <v>28253</v>
      </c>
      <c r="D62" s="2">
        <f ca="1">DATEDIF(gym_membership[[#This Row],[birthday]],TODAY(),"y")</f>
        <v>49</v>
      </c>
      <c r="E62">
        <v>47</v>
      </c>
      <c r="F62" t="s">
        <v>18</v>
      </c>
      <c r="G62">
        <v>3</v>
      </c>
      <c r="H62" t="s">
        <v>122</v>
      </c>
      <c r="I62" t="s">
        <v>34</v>
      </c>
      <c r="J62" t="s">
        <v>94</v>
      </c>
      <c r="K62" t="s">
        <v>77</v>
      </c>
      <c r="N62" t="b">
        <v>0</v>
      </c>
      <c r="O62" t="s">
        <v>21</v>
      </c>
      <c r="S62" s="1">
        <v>0.77083333333333337</v>
      </c>
      <c r="T62" s="1">
        <v>0.84513888888888888</v>
      </c>
      <c r="U62">
        <v>107</v>
      </c>
      <c r="V62" t="b">
        <v>0</v>
      </c>
      <c r="W62" t="s">
        <v>21</v>
      </c>
      <c r="Z62" t="b">
        <v>1</v>
      </c>
      <c r="AA62" t="s">
        <v>24</v>
      </c>
      <c r="AB62" t="b">
        <v>0</v>
      </c>
      <c r="AD62" s="2"/>
    </row>
    <row r="63" spans="1:30" x14ac:dyDescent="0.25">
      <c r="A63">
        <v>62</v>
      </c>
      <c r="B63" t="s">
        <v>17</v>
      </c>
      <c r="C63" s="3">
        <v>34832</v>
      </c>
      <c r="D63" s="2">
        <f ca="1">DATEDIF(gym_membership[[#This Row],[birthday]],TODAY(),"y")</f>
        <v>31</v>
      </c>
      <c r="E63">
        <v>29</v>
      </c>
      <c r="F63" t="s">
        <v>22</v>
      </c>
      <c r="G63">
        <v>3</v>
      </c>
      <c r="H63" t="s">
        <v>30</v>
      </c>
      <c r="I63" t="s">
        <v>26</v>
      </c>
      <c r="J63" t="s">
        <v>57</v>
      </c>
      <c r="K63" t="s">
        <v>77</v>
      </c>
      <c r="N63" t="b">
        <v>0</v>
      </c>
      <c r="O63" t="s">
        <v>21</v>
      </c>
      <c r="S63" s="1">
        <v>0.43611111111111112</v>
      </c>
      <c r="T63" s="1">
        <v>0.48333333333333334</v>
      </c>
      <c r="U63">
        <v>68</v>
      </c>
      <c r="V63" t="b">
        <v>0</v>
      </c>
      <c r="W63" t="s">
        <v>21</v>
      </c>
      <c r="Z63" t="b">
        <v>1</v>
      </c>
      <c r="AA63" t="s">
        <v>24</v>
      </c>
      <c r="AB63" t="b">
        <v>1</v>
      </c>
      <c r="AD63" s="2"/>
    </row>
    <row r="64" spans="1:30" x14ac:dyDescent="0.25">
      <c r="A64">
        <v>63</v>
      </c>
      <c r="B64" t="s">
        <v>25</v>
      </c>
      <c r="C64" s="3">
        <v>34403</v>
      </c>
      <c r="D64" s="2">
        <f ca="1">DATEDIF(gym_membership[[#This Row],[birthday]],TODAY(),"y")</f>
        <v>32</v>
      </c>
      <c r="E64">
        <v>30</v>
      </c>
      <c r="F64" t="s">
        <v>22</v>
      </c>
      <c r="G64">
        <v>3</v>
      </c>
      <c r="H64" t="s">
        <v>123</v>
      </c>
      <c r="I64" t="s">
        <v>44</v>
      </c>
      <c r="J64" t="s">
        <v>94</v>
      </c>
      <c r="K64" t="s">
        <v>95</v>
      </c>
      <c r="N64" t="b">
        <v>0</v>
      </c>
      <c r="O64" t="s">
        <v>21</v>
      </c>
      <c r="S64" s="1">
        <v>0.72361111111111109</v>
      </c>
      <c r="T64" s="1">
        <v>0.74791666666666667</v>
      </c>
      <c r="U64">
        <v>35</v>
      </c>
      <c r="V64" t="b">
        <v>1</v>
      </c>
      <c r="W64" t="s">
        <v>124</v>
      </c>
      <c r="X64" t="s">
        <v>31</v>
      </c>
      <c r="Y64" t="s">
        <v>39</v>
      </c>
      <c r="Z64" t="b">
        <v>0</v>
      </c>
      <c r="AA64" t="s">
        <v>456</v>
      </c>
      <c r="AB64" t="b">
        <v>1</v>
      </c>
      <c r="AD64" s="2"/>
    </row>
    <row r="65" spans="1:30" x14ac:dyDescent="0.25">
      <c r="A65">
        <v>64</v>
      </c>
      <c r="B65" t="s">
        <v>17</v>
      </c>
      <c r="C65" s="3">
        <v>37392</v>
      </c>
      <c r="D65" s="2">
        <f ca="1">DATEDIF(gym_membership[[#This Row],[birthday]],TODAY(),"y")</f>
        <v>24</v>
      </c>
      <c r="E65">
        <v>22</v>
      </c>
      <c r="F65" t="s">
        <v>18</v>
      </c>
      <c r="G65">
        <v>3</v>
      </c>
      <c r="H65" t="s">
        <v>55</v>
      </c>
      <c r="I65" t="s">
        <v>44</v>
      </c>
      <c r="J65" t="s">
        <v>26</v>
      </c>
      <c r="K65" t="s">
        <v>94</v>
      </c>
      <c r="N65" t="b">
        <v>0</v>
      </c>
      <c r="O65" t="s">
        <v>21</v>
      </c>
      <c r="S65" s="1">
        <v>0.44513888888888886</v>
      </c>
      <c r="T65" s="1">
        <v>0.48472222222222222</v>
      </c>
      <c r="U65">
        <v>57</v>
      </c>
      <c r="V65" t="b">
        <v>1</v>
      </c>
      <c r="W65" t="s">
        <v>125</v>
      </c>
      <c r="X65" t="s">
        <v>65</v>
      </c>
      <c r="Y65" t="s">
        <v>76</v>
      </c>
      <c r="Z65" t="b">
        <v>1</v>
      </c>
      <c r="AA65" t="s">
        <v>45</v>
      </c>
      <c r="AB65" t="b">
        <v>1</v>
      </c>
      <c r="AD65" s="2"/>
    </row>
    <row r="66" spans="1:30" x14ac:dyDescent="0.25">
      <c r="A66">
        <v>65</v>
      </c>
      <c r="B66" t="s">
        <v>17</v>
      </c>
      <c r="C66" s="3">
        <v>30276</v>
      </c>
      <c r="D66" s="2">
        <f ca="1">DATEDIF(gym_membership[[#This Row],[birthday]],TODAY(),"y")</f>
        <v>43</v>
      </c>
      <c r="E66">
        <v>41</v>
      </c>
      <c r="F66" t="s">
        <v>22</v>
      </c>
      <c r="G66">
        <v>2</v>
      </c>
      <c r="H66" t="s">
        <v>126</v>
      </c>
      <c r="I66" t="s">
        <v>94</v>
      </c>
      <c r="J66" t="s">
        <v>57</v>
      </c>
      <c r="N66" t="b">
        <v>0</v>
      </c>
      <c r="O66" t="s">
        <v>21</v>
      </c>
      <c r="S66" s="1">
        <v>0.57986111111111116</v>
      </c>
      <c r="T66" s="1">
        <v>0.68194444444444446</v>
      </c>
      <c r="U66">
        <v>147</v>
      </c>
      <c r="V66" t="b">
        <v>0</v>
      </c>
      <c r="W66" t="s">
        <v>21</v>
      </c>
      <c r="Z66" t="b">
        <v>0</v>
      </c>
      <c r="AA66" t="s">
        <v>456</v>
      </c>
      <c r="AB66" t="b">
        <v>1</v>
      </c>
      <c r="AD66" s="2"/>
    </row>
    <row r="67" spans="1:30" x14ac:dyDescent="0.25">
      <c r="A67">
        <v>66</v>
      </c>
      <c r="B67" t="s">
        <v>17</v>
      </c>
      <c r="C67" s="3">
        <v>28941</v>
      </c>
      <c r="D67" s="2">
        <f ca="1">DATEDIF(gym_membership[[#This Row],[birthday]],TODAY(),"y")</f>
        <v>47</v>
      </c>
      <c r="E67">
        <v>45</v>
      </c>
      <c r="F67" t="s">
        <v>18</v>
      </c>
      <c r="G67">
        <v>4</v>
      </c>
      <c r="H67" t="s">
        <v>127</v>
      </c>
      <c r="I67" t="s">
        <v>44</v>
      </c>
      <c r="J67" t="s">
        <v>95</v>
      </c>
      <c r="K67" t="s">
        <v>57</v>
      </c>
      <c r="L67" t="s">
        <v>77</v>
      </c>
      <c r="N67" t="b">
        <v>0</v>
      </c>
      <c r="O67" t="s">
        <v>21</v>
      </c>
      <c r="S67" s="1">
        <v>0.54583333333333328</v>
      </c>
      <c r="T67" s="1">
        <v>0.57916666666666672</v>
      </c>
      <c r="U67">
        <v>48</v>
      </c>
      <c r="V67" t="b">
        <v>0</v>
      </c>
      <c r="W67" t="s">
        <v>21</v>
      </c>
      <c r="Z67" t="b">
        <v>0</v>
      </c>
      <c r="AA67" t="s">
        <v>456</v>
      </c>
      <c r="AB67" t="b">
        <v>1</v>
      </c>
      <c r="AD67" s="2"/>
    </row>
    <row r="68" spans="1:30" x14ac:dyDescent="0.25">
      <c r="A68">
        <v>67</v>
      </c>
      <c r="B68" t="s">
        <v>17</v>
      </c>
      <c r="C68" s="3">
        <v>37372</v>
      </c>
      <c r="D68" s="2">
        <f ca="1">DATEDIF(gym_membership[[#This Row],[birthday]],TODAY(),"y")</f>
        <v>24</v>
      </c>
      <c r="E68">
        <v>22</v>
      </c>
      <c r="F68" t="s">
        <v>18</v>
      </c>
      <c r="G68">
        <v>1</v>
      </c>
      <c r="H68" t="s">
        <v>94</v>
      </c>
      <c r="I68" t="s">
        <v>94</v>
      </c>
      <c r="N68" t="b">
        <v>1</v>
      </c>
      <c r="O68" t="s">
        <v>128</v>
      </c>
      <c r="P68" t="s">
        <v>128</v>
      </c>
      <c r="S68" s="1">
        <v>0.34583333333333333</v>
      </c>
      <c r="T68" s="1">
        <v>0.46388888888888891</v>
      </c>
      <c r="U68">
        <v>170</v>
      </c>
      <c r="V68" t="b">
        <v>0</v>
      </c>
      <c r="W68" t="s">
        <v>21</v>
      </c>
      <c r="Z68" t="b">
        <v>0</v>
      </c>
      <c r="AA68" t="s">
        <v>456</v>
      </c>
      <c r="AB68" t="b">
        <v>0</v>
      </c>
      <c r="AD68" s="2"/>
    </row>
    <row r="69" spans="1:30" x14ac:dyDescent="0.25">
      <c r="A69">
        <v>68</v>
      </c>
      <c r="B69" t="s">
        <v>25</v>
      </c>
      <c r="C69" s="3">
        <v>38184</v>
      </c>
      <c r="D69" s="2">
        <f ca="1">DATEDIF(gym_membership[[#This Row],[birthday]],TODAY(),"y")</f>
        <v>22</v>
      </c>
      <c r="E69">
        <v>20</v>
      </c>
      <c r="F69" t="s">
        <v>22</v>
      </c>
      <c r="G69">
        <v>5</v>
      </c>
      <c r="H69" t="s">
        <v>129</v>
      </c>
      <c r="I69" t="s">
        <v>34</v>
      </c>
      <c r="J69" t="s">
        <v>26</v>
      </c>
      <c r="K69" t="s">
        <v>94</v>
      </c>
      <c r="L69" t="s">
        <v>95</v>
      </c>
      <c r="M69" t="s">
        <v>77</v>
      </c>
      <c r="N69" t="b">
        <v>1</v>
      </c>
      <c r="O69" t="s">
        <v>100</v>
      </c>
      <c r="P69" t="s">
        <v>100</v>
      </c>
      <c r="S69" s="1">
        <v>0.5444444444444444</v>
      </c>
      <c r="T69" s="1">
        <v>0.56736111111111109</v>
      </c>
      <c r="U69">
        <v>33</v>
      </c>
      <c r="V69" t="b">
        <v>1</v>
      </c>
      <c r="W69" t="s">
        <v>130</v>
      </c>
      <c r="X69" t="s">
        <v>76</v>
      </c>
      <c r="Y69" t="s">
        <v>39</v>
      </c>
      <c r="Z69" t="b">
        <v>1</v>
      </c>
      <c r="AA69" t="s">
        <v>29</v>
      </c>
      <c r="AB69" t="b">
        <v>1</v>
      </c>
      <c r="AD69" s="2"/>
    </row>
    <row r="70" spans="1:30" x14ac:dyDescent="0.25">
      <c r="A70">
        <v>69</v>
      </c>
      <c r="B70" t="s">
        <v>25</v>
      </c>
      <c r="C70" s="3">
        <v>33219</v>
      </c>
      <c r="D70" s="2">
        <f ca="1">DATEDIF(gym_membership[[#This Row],[birthday]],TODAY(),"y")</f>
        <v>35</v>
      </c>
      <c r="E70">
        <v>33</v>
      </c>
      <c r="F70" t="s">
        <v>18</v>
      </c>
      <c r="G70">
        <v>1</v>
      </c>
      <c r="H70" t="s">
        <v>77</v>
      </c>
      <c r="I70" t="s">
        <v>77</v>
      </c>
      <c r="N70" t="b">
        <v>1</v>
      </c>
      <c r="O70" t="s">
        <v>72</v>
      </c>
      <c r="P70" t="s">
        <v>72</v>
      </c>
      <c r="S70" s="1">
        <v>0.37777777777777777</v>
      </c>
      <c r="T70" s="1">
        <v>0.40763888888888888</v>
      </c>
      <c r="U70">
        <v>43</v>
      </c>
      <c r="V70" t="b">
        <v>1</v>
      </c>
      <c r="W70" t="s">
        <v>31</v>
      </c>
      <c r="X70" t="s">
        <v>31</v>
      </c>
      <c r="Z70" t="b">
        <v>0</v>
      </c>
      <c r="AA70" t="s">
        <v>456</v>
      </c>
      <c r="AB70" t="b">
        <v>0</v>
      </c>
      <c r="AD70" s="2"/>
    </row>
    <row r="71" spans="1:30" x14ac:dyDescent="0.25">
      <c r="A71">
        <v>70</v>
      </c>
      <c r="B71" t="s">
        <v>17</v>
      </c>
      <c r="C71" s="3">
        <v>32356</v>
      </c>
      <c r="D71" s="2">
        <f ca="1">DATEDIF(gym_membership[[#This Row],[birthday]],TODAY(),"y")</f>
        <v>38</v>
      </c>
      <c r="E71">
        <v>36</v>
      </c>
      <c r="F71" t="s">
        <v>18</v>
      </c>
      <c r="G71">
        <v>3</v>
      </c>
      <c r="H71" t="s">
        <v>116</v>
      </c>
      <c r="I71" t="s">
        <v>44</v>
      </c>
      <c r="J71" t="s">
        <v>94</v>
      </c>
      <c r="K71" t="s">
        <v>57</v>
      </c>
      <c r="N71" t="b">
        <v>0</v>
      </c>
      <c r="O71" t="s">
        <v>21</v>
      </c>
      <c r="S71" s="1">
        <v>0.46597222222222223</v>
      </c>
      <c r="T71" s="1">
        <v>0.5805555555555556</v>
      </c>
      <c r="U71">
        <v>165</v>
      </c>
      <c r="V71" t="b">
        <v>0</v>
      </c>
      <c r="W71" t="s">
        <v>21</v>
      </c>
      <c r="Z71" t="b">
        <v>0</v>
      </c>
      <c r="AA71" t="s">
        <v>456</v>
      </c>
      <c r="AB71" t="b">
        <v>1</v>
      </c>
      <c r="AD71" s="2"/>
    </row>
    <row r="72" spans="1:30" x14ac:dyDescent="0.25">
      <c r="A72">
        <v>71</v>
      </c>
      <c r="B72" t="s">
        <v>25</v>
      </c>
      <c r="C72" s="3">
        <v>34598</v>
      </c>
      <c r="D72" s="2">
        <f ca="1">DATEDIF(gym_membership[[#This Row],[birthday]],TODAY(),"y")</f>
        <v>31</v>
      </c>
      <c r="E72">
        <v>30</v>
      </c>
      <c r="F72" t="s">
        <v>18</v>
      </c>
      <c r="G72">
        <v>5</v>
      </c>
      <c r="H72" t="s">
        <v>131</v>
      </c>
      <c r="I72" t="s">
        <v>44</v>
      </c>
      <c r="J72" t="s">
        <v>34</v>
      </c>
      <c r="K72" t="s">
        <v>26</v>
      </c>
      <c r="L72" t="s">
        <v>94</v>
      </c>
      <c r="M72" t="s">
        <v>57</v>
      </c>
      <c r="N72" t="b">
        <v>1</v>
      </c>
      <c r="O72" t="s">
        <v>41</v>
      </c>
      <c r="P72" t="s">
        <v>41</v>
      </c>
      <c r="S72" s="1">
        <v>0.5444444444444444</v>
      </c>
      <c r="T72" s="1">
        <v>0.58194444444444449</v>
      </c>
      <c r="U72">
        <v>54</v>
      </c>
      <c r="V72" t="b">
        <v>0</v>
      </c>
      <c r="W72" t="s">
        <v>21</v>
      </c>
      <c r="Z72" t="b">
        <v>1</v>
      </c>
      <c r="AA72" t="s">
        <v>45</v>
      </c>
      <c r="AB72" t="b">
        <v>1</v>
      </c>
      <c r="AD72" s="2"/>
    </row>
    <row r="73" spans="1:30" x14ac:dyDescent="0.25">
      <c r="A73">
        <v>72</v>
      </c>
      <c r="B73" t="s">
        <v>25</v>
      </c>
      <c r="C73" s="3">
        <v>39154</v>
      </c>
      <c r="D73" s="2">
        <f ca="1">DATEDIF(gym_membership[[#This Row],[birthday]],TODAY(),"y")</f>
        <v>19</v>
      </c>
      <c r="E73">
        <v>17</v>
      </c>
      <c r="F73" t="s">
        <v>18</v>
      </c>
      <c r="G73">
        <v>1</v>
      </c>
      <c r="H73" t="s">
        <v>77</v>
      </c>
      <c r="I73" t="s">
        <v>77</v>
      </c>
      <c r="N73" t="b">
        <v>0</v>
      </c>
      <c r="O73" t="s">
        <v>21</v>
      </c>
      <c r="S73" s="1">
        <v>0.4375</v>
      </c>
      <c r="T73" s="1">
        <v>0.56041666666666667</v>
      </c>
      <c r="U73">
        <v>177</v>
      </c>
      <c r="V73" t="b">
        <v>1</v>
      </c>
      <c r="W73" t="s">
        <v>51</v>
      </c>
      <c r="X73" t="s">
        <v>51</v>
      </c>
      <c r="Z73" t="b">
        <v>1</v>
      </c>
      <c r="AA73" t="s">
        <v>29</v>
      </c>
      <c r="AB73" t="b">
        <v>1</v>
      </c>
      <c r="AD73" s="2"/>
    </row>
    <row r="74" spans="1:30" x14ac:dyDescent="0.25">
      <c r="A74">
        <v>73</v>
      </c>
      <c r="B74" t="s">
        <v>25</v>
      </c>
      <c r="C74" s="3">
        <v>32508</v>
      </c>
      <c r="D74" s="2">
        <f ca="1">DATEDIF(gym_membership[[#This Row],[birthday]],TODAY(),"y")</f>
        <v>37</v>
      </c>
      <c r="E74">
        <v>35</v>
      </c>
      <c r="F74" t="s">
        <v>18</v>
      </c>
      <c r="G74">
        <v>2</v>
      </c>
      <c r="H74" t="s">
        <v>66</v>
      </c>
      <c r="I74" t="s">
        <v>34</v>
      </c>
      <c r="J74" t="s">
        <v>57</v>
      </c>
      <c r="N74" t="b">
        <v>0</v>
      </c>
      <c r="O74" t="s">
        <v>21</v>
      </c>
      <c r="S74" s="1">
        <v>0.71250000000000002</v>
      </c>
      <c r="T74" s="1">
        <v>0.77708333333333335</v>
      </c>
      <c r="U74">
        <v>93</v>
      </c>
      <c r="V74" t="b">
        <v>1</v>
      </c>
      <c r="W74" t="s">
        <v>76</v>
      </c>
      <c r="X74" t="s">
        <v>76</v>
      </c>
      <c r="Z74" t="b">
        <v>1</v>
      </c>
      <c r="AA74" t="s">
        <v>24</v>
      </c>
      <c r="AB74" t="b">
        <v>0</v>
      </c>
      <c r="AD74" s="2"/>
    </row>
    <row r="75" spans="1:30" x14ac:dyDescent="0.25">
      <c r="A75">
        <v>74</v>
      </c>
      <c r="B75" t="s">
        <v>25</v>
      </c>
      <c r="C75" s="3">
        <v>35049</v>
      </c>
      <c r="D75" s="2">
        <f ca="1">DATEDIF(gym_membership[[#This Row],[birthday]],TODAY(),"y")</f>
        <v>30</v>
      </c>
      <c r="E75">
        <v>28</v>
      </c>
      <c r="F75" t="s">
        <v>22</v>
      </c>
      <c r="G75">
        <v>2</v>
      </c>
      <c r="H75" t="s">
        <v>132</v>
      </c>
      <c r="I75" t="s">
        <v>44</v>
      </c>
      <c r="J75" t="s">
        <v>94</v>
      </c>
      <c r="N75" t="b">
        <v>0</v>
      </c>
      <c r="O75" t="s">
        <v>21</v>
      </c>
      <c r="S75" s="1">
        <v>0.84513888888888888</v>
      </c>
      <c r="T75" s="1">
        <v>0.9604166666666667</v>
      </c>
      <c r="U75">
        <v>166</v>
      </c>
      <c r="V75" t="b">
        <v>1</v>
      </c>
      <c r="W75" t="s">
        <v>31</v>
      </c>
      <c r="X75" t="s">
        <v>31</v>
      </c>
      <c r="Z75" t="b">
        <v>0</v>
      </c>
      <c r="AA75" t="s">
        <v>456</v>
      </c>
      <c r="AB75" t="b">
        <v>1</v>
      </c>
      <c r="AD75" s="2"/>
    </row>
    <row r="76" spans="1:30" x14ac:dyDescent="0.25">
      <c r="A76">
        <v>75</v>
      </c>
      <c r="B76" t="s">
        <v>17</v>
      </c>
      <c r="C76" s="3">
        <v>35399</v>
      </c>
      <c r="D76" s="2">
        <f ca="1">DATEDIF(gym_membership[[#This Row],[birthday]],TODAY(),"y")</f>
        <v>29</v>
      </c>
      <c r="E76">
        <v>27</v>
      </c>
      <c r="F76" t="s">
        <v>22</v>
      </c>
      <c r="G76">
        <v>5</v>
      </c>
      <c r="H76" t="s">
        <v>117</v>
      </c>
      <c r="I76" t="s">
        <v>44</v>
      </c>
      <c r="J76" t="s">
        <v>34</v>
      </c>
      <c r="K76" t="s">
        <v>26</v>
      </c>
      <c r="L76" t="s">
        <v>95</v>
      </c>
      <c r="M76" t="s">
        <v>57</v>
      </c>
      <c r="N76" t="b">
        <v>0</v>
      </c>
      <c r="O76" t="s">
        <v>21</v>
      </c>
      <c r="S76" s="1">
        <v>0.41458333333333336</v>
      </c>
      <c r="T76" s="1">
        <v>0.51527777777777772</v>
      </c>
      <c r="U76">
        <v>145</v>
      </c>
      <c r="V76" t="b">
        <v>0</v>
      </c>
      <c r="W76" t="s">
        <v>21</v>
      </c>
      <c r="Z76" t="b">
        <v>0</v>
      </c>
      <c r="AA76" t="s">
        <v>456</v>
      </c>
      <c r="AB76" t="b">
        <v>0</v>
      </c>
      <c r="AD76" s="2"/>
    </row>
    <row r="77" spans="1:30" x14ac:dyDescent="0.25">
      <c r="A77">
        <v>76</v>
      </c>
      <c r="B77" t="s">
        <v>25</v>
      </c>
      <c r="C77" s="3">
        <v>38147</v>
      </c>
      <c r="D77" s="2">
        <f ca="1">DATEDIF(gym_membership[[#This Row],[birthday]],TODAY(),"y")</f>
        <v>22</v>
      </c>
      <c r="E77">
        <v>20</v>
      </c>
      <c r="F77" t="s">
        <v>18</v>
      </c>
      <c r="G77">
        <v>1</v>
      </c>
      <c r="H77" t="s">
        <v>94</v>
      </c>
      <c r="I77" t="s">
        <v>94</v>
      </c>
      <c r="N77" t="b">
        <v>0</v>
      </c>
      <c r="O77" t="s">
        <v>21</v>
      </c>
      <c r="S77" s="1">
        <v>0.6479166666666667</v>
      </c>
      <c r="T77" s="1">
        <v>0.70902777777777781</v>
      </c>
      <c r="U77">
        <v>88</v>
      </c>
      <c r="V77" t="b">
        <v>0</v>
      </c>
      <c r="W77" t="s">
        <v>21</v>
      </c>
      <c r="Z77" t="b">
        <v>1</v>
      </c>
      <c r="AA77" t="s">
        <v>29</v>
      </c>
      <c r="AB77" t="b">
        <v>1</v>
      </c>
      <c r="AD77" s="2"/>
    </row>
    <row r="78" spans="1:30" x14ac:dyDescent="0.25">
      <c r="A78">
        <v>77</v>
      </c>
      <c r="B78" t="s">
        <v>17</v>
      </c>
      <c r="C78" s="3">
        <v>39191</v>
      </c>
      <c r="D78" s="2">
        <f ca="1">DATEDIF(gym_membership[[#This Row],[birthday]],TODAY(),"y")</f>
        <v>19</v>
      </c>
      <c r="E78">
        <v>17</v>
      </c>
      <c r="F78" t="s">
        <v>18</v>
      </c>
      <c r="G78">
        <v>2</v>
      </c>
      <c r="H78" t="s">
        <v>66</v>
      </c>
      <c r="I78" t="s">
        <v>34</v>
      </c>
      <c r="J78" t="s">
        <v>57</v>
      </c>
      <c r="N78" t="b">
        <v>0</v>
      </c>
      <c r="O78" t="s">
        <v>21</v>
      </c>
      <c r="S78" s="1">
        <v>0.66249999999999998</v>
      </c>
      <c r="T78" s="1">
        <v>0.69861111111111107</v>
      </c>
      <c r="U78">
        <v>52</v>
      </c>
      <c r="V78" t="b">
        <v>0</v>
      </c>
      <c r="W78" t="s">
        <v>21</v>
      </c>
      <c r="Z78" t="b">
        <v>1</v>
      </c>
      <c r="AA78" t="s">
        <v>45</v>
      </c>
      <c r="AB78" t="b">
        <v>0</v>
      </c>
      <c r="AD78" s="2"/>
    </row>
    <row r="79" spans="1:30" x14ac:dyDescent="0.25">
      <c r="A79">
        <v>78</v>
      </c>
      <c r="B79" t="s">
        <v>25</v>
      </c>
      <c r="C79" s="3">
        <v>33170</v>
      </c>
      <c r="D79" s="2">
        <f ca="1">DATEDIF(gym_membership[[#This Row],[birthday]],TODAY(),"y")</f>
        <v>35</v>
      </c>
      <c r="E79">
        <v>33</v>
      </c>
      <c r="F79" t="s">
        <v>18</v>
      </c>
      <c r="G79">
        <v>2</v>
      </c>
      <c r="H79" t="s">
        <v>133</v>
      </c>
      <c r="I79" t="s">
        <v>34</v>
      </c>
      <c r="J79" t="s">
        <v>94</v>
      </c>
      <c r="N79" t="b">
        <v>1</v>
      </c>
      <c r="O79" t="s">
        <v>134</v>
      </c>
      <c r="P79" t="s">
        <v>72</v>
      </c>
      <c r="Q79" t="s">
        <v>100</v>
      </c>
      <c r="R79" t="s">
        <v>96</v>
      </c>
      <c r="S79" s="1">
        <v>0.67777777777777781</v>
      </c>
      <c r="T79" s="1">
        <v>0.75208333333333333</v>
      </c>
      <c r="U79">
        <v>107</v>
      </c>
      <c r="V79" t="b">
        <v>1</v>
      </c>
      <c r="W79" t="s">
        <v>76</v>
      </c>
      <c r="X79" t="s">
        <v>76</v>
      </c>
      <c r="Z79" t="b">
        <v>1</v>
      </c>
      <c r="AA79" t="s">
        <v>29</v>
      </c>
      <c r="AB79" t="b">
        <v>0</v>
      </c>
      <c r="AD79" s="2"/>
    </row>
    <row r="80" spans="1:30" x14ac:dyDescent="0.25">
      <c r="A80">
        <v>79</v>
      </c>
      <c r="B80" t="s">
        <v>17</v>
      </c>
      <c r="C80" s="3">
        <v>29700</v>
      </c>
      <c r="D80" s="2">
        <f ca="1">DATEDIF(gym_membership[[#This Row],[birthday]],TODAY(),"y")</f>
        <v>45</v>
      </c>
      <c r="E80">
        <v>43</v>
      </c>
      <c r="F80" t="s">
        <v>22</v>
      </c>
      <c r="G80">
        <v>5</v>
      </c>
      <c r="H80" t="s">
        <v>135</v>
      </c>
      <c r="I80" t="s">
        <v>44</v>
      </c>
      <c r="J80" t="s">
        <v>26</v>
      </c>
      <c r="K80" t="s">
        <v>95</v>
      </c>
      <c r="L80" t="s">
        <v>57</v>
      </c>
      <c r="M80" t="s">
        <v>77</v>
      </c>
      <c r="N80" t="b">
        <v>1</v>
      </c>
      <c r="O80" t="s">
        <v>27</v>
      </c>
      <c r="P80" t="s">
        <v>27</v>
      </c>
      <c r="S80" s="1">
        <v>0.53055555555555556</v>
      </c>
      <c r="T80" s="1">
        <v>0.65555555555555556</v>
      </c>
      <c r="U80">
        <v>180</v>
      </c>
      <c r="V80" t="b">
        <v>0</v>
      </c>
      <c r="W80" t="s">
        <v>21</v>
      </c>
      <c r="Z80" t="b">
        <v>0</v>
      </c>
      <c r="AA80" t="s">
        <v>456</v>
      </c>
      <c r="AB80" t="b">
        <v>0</v>
      </c>
      <c r="AD80" s="2"/>
    </row>
    <row r="81" spans="1:30" x14ac:dyDescent="0.25">
      <c r="A81">
        <v>80</v>
      </c>
      <c r="B81" t="s">
        <v>17</v>
      </c>
      <c r="C81" s="3">
        <v>32409</v>
      </c>
      <c r="D81" s="2">
        <f ca="1">DATEDIF(gym_membership[[#This Row],[birthday]],TODAY(),"y")</f>
        <v>37</v>
      </c>
      <c r="E81">
        <v>36</v>
      </c>
      <c r="F81" t="s">
        <v>22</v>
      </c>
      <c r="G81">
        <v>2</v>
      </c>
      <c r="H81" t="s">
        <v>119</v>
      </c>
      <c r="I81" t="s">
        <v>44</v>
      </c>
      <c r="J81" t="s">
        <v>57</v>
      </c>
      <c r="N81" t="b">
        <v>1</v>
      </c>
      <c r="O81" t="s">
        <v>136</v>
      </c>
      <c r="P81" t="s">
        <v>103</v>
      </c>
      <c r="Q81" t="s">
        <v>91</v>
      </c>
      <c r="R81" t="s">
        <v>100</v>
      </c>
      <c r="S81" s="1">
        <v>0.7631944444444444</v>
      </c>
      <c r="T81" s="1">
        <v>0.83472222222222225</v>
      </c>
      <c r="U81">
        <v>103</v>
      </c>
      <c r="V81" t="b">
        <v>0</v>
      </c>
      <c r="W81" t="s">
        <v>21</v>
      </c>
      <c r="Z81" t="b">
        <v>1</v>
      </c>
      <c r="AA81" t="s">
        <v>43</v>
      </c>
      <c r="AB81" t="b">
        <v>1</v>
      </c>
      <c r="AD81" s="2"/>
    </row>
    <row r="82" spans="1:30" x14ac:dyDescent="0.25">
      <c r="A82">
        <v>81</v>
      </c>
      <c r="B82" t="s">
        <v>25</v>
      </c>
      <c r="C82" s="3">
        <v>28778</v>
      </c>
      <c r="D82" s="2">
        <f ca="1">DATEDIF(gym_membership[[#This Row],[birthday]],TODAY(),"y")</f>
        <v>47</v>
      </c>
      <c r="E82">
        <v>45</v>
      </c>
      <c r="F82" t="s">
        <v>22</v>
      </c>
      <c r="G82">
        <v>2</v>
      </c>
      <c r="H82" t="s">
        <v>86</v>
      </c>
      <c r="I82" t="s">
        <v>34</v>
      </c>
      <c r="J82" t="s">
        <v>26</v>
      </c>
      <c r="N82" t="b">
        <v>0</v>
      </c>
      <c r="O82" t="s">
        <v>21</v>
      </c>
      <c r="S82" s="1">
        <v>0.52430555555555558</v>
      </c>
      <c r="T82" s="1">
        <v>0.63749999999999996</v>
      </c>
      <c r="U82">
        <v>163</v>
      </c>
      <c r="V82" t="b">
        <v>1</v>
      </c>
      <c r="W82" t="s">
        <v>76</v>
      </c>
      <c r="X82" t="s">
        <v>76</v>
      </c>
      <c r="Z82" t="b">
        <v>1</v>
      </c>
      <c r="AA82" t="s">
        <v>29</v>
      </c>
      <c r="AB82" t="b">
        <v>1</v>
      </c>
      <c r="AD82" s="2"/>
    </row>
    <row r="83" spans="1:30" x14ac:dyDescent="0.25">
      <c r="A83">
        <v>82</v>
      </c>
      <c r="B83" t="s">
        <v>25</v>
      </c>
      <c r="C83" s="3">
        <v>29896</v>
      </c>
      <c r="D83" s="2">
        <f ca="1">DATEDIF(gym_membership[[#This Row],[birthday]],TODAY(),"y")</f>
        <v>44</v>
      </c>
      <c r="E83">
        <v>42</v>
      </c>
      <c r="F83" t="s">
        <v>22</v>
      </c>
      <c r="G83">
        <v>3</v>
      </c>
      <c r="H83" t="s">
        <v>81</v>
      </c>
      <c r="I83" t="s">
        <v>94</v>
      </c>
      <c r="J83" t="s">
        <v>95</v>
      </c>
      <c r="K83" t="s">
        <v>77</v>
      </c>
      <c r="N83" t="b">
        <v>1</v>
      </c>
      <c r="O83" t="s">
        <v>137</v>
      </c>
      <c r="P83" t="s">
        <v>128</v>
      </c>
      <c r="Q83" t="s">
        <v>120</v>
      </c>
      <c r="S83" s="1">
        <v>0.78819444444444442</v>
      </c>
      <c r="T83" s="1">
        <v>0.875</v>
      </c>
      <c r="U83">
        <v>125</v>
      </c>
      <c r="V83" t="b">
        <v>0</v>
      </c>
      <c r="W83" t="s">
        <v>21</v>
      </c>
      <c r="Z83" t="b">
        <v>0</v>
      </c>
      <c r="AA83" t="s">
        <v>456</v>
      </c>
      <c r="AB83" t="b">
        <v>0</v>
      </c>
      <c r="AD83" s="2"/>
    </row>
    <row r="84" spans="1:30" x14ac:dyDescent="0.25">
      <c r="A84">
        <v>83</v>
      </c>
      <c r="B84" t="s">
        <v>25</v>
      </c>
      <c r="C84" s="3">
        <v>34791</v>
      </c>
      <c r="D84" s="2">
        <f ca="1">DATEDIF(gym_membership[[#This Row],[birthday]],TODAY(),"y")</f>
        <v>31</v>
      </c>
      <c r="E84">
        <v>29</v>
      </c>
      <c r="F84" t="s">
        <v>18</v>
      </c>
      <c r="G84">
        <v>1</v>
      </c>
      <c r="H84" t="s">
        <v>34</v>
      </c>
      <c r="I84" t="s">
        <v>34</v>
      </c>
      <c r="N84" t="b">
        <v>0</v>
      </c>
      <c r="O84" t="s">
        <v>21</v>
      </c>
      <c r="S84" s="1">
        <v>0.35625000000000001</v>
      </c>
      <c r="T84" s="1">
        <v>0.41458333333333336</v>
      </c>
      <c r="U84">
        <v>84</v>
      </c>
      <c r="V84" t="b">
        <v>1</v>
      </c>
      <c r="W84" t="s">
        <v>39</v>
      </c>
      <c r="X84" t="s">
        <v>39</v>
      </c>
      <c r="Z84" t="b">
        <v>0</v>
      </c>
      <c r="AA84" t="s">
        <v>456</v>
      </c>
      <c r="AB84" t="b">
        <v>0</v>
      </c>
      <c r="AD84" s="2"/>
    </row>
    <row r="85" spans="1:30" x14ac:dyDescent="0.25">
      <c r="A85">
        <v>84</v>
      </c>
      <c r="B85" t="s">
        <v>25</v>
      </c>
      <c r="C85" s="3">
        <v>38928</v>
      </c>
      <c r="D85" s="2">
        <f ca="1">DATEDIF(gym_membership[[#This Row],[birthday]],TODAY(),"y")</f>
        <v>20</v>
      </c>
      <c r="E85">
        <v>18</v>
      </c>
      <c r="F85" t="s">
        <v>22</v>
      </c>
      <c r="G85">
        <v>3</v>
      </c>
      <c r="H85" t="s">
        <v>138</v>
      </c>
      <c r="I85" t="s">
        <v>94</v>
      </c>
      <c r="J85" t="s">
        <v>95</v>
      </c>
      <c r="K85" t="s">
        <v>57</v>
      </c>
      <c r="N85" t="b">
        <v>1</v>
      </c>
      <c r="O85" t="s">
        <v>139</v>
      </c>
      <c r="P85" t="s">
        <v>103</v>
      </c>
      <c r="Q85" t="s">
        <v>67</v>
      </c>
      <c r="S85" s="1">
        <v>0.38541666666666669</v>
      </c>
      <c r="T85" s="1">
        <v>0.41944444444444445</v>
      </c>
      <c r="U85">
        <v>49</v>
      </c>
      <c r="V85" t="b">
        <v>1</v>
      </c>
      <c r="W85" t="s">
        <v>83</v>
      </c>
      <c r="X85" t="s">
        <v>51</v>
      </c>
      <c r="Y85" t="s">
        <v>65</v>
      </c>
      <c r="Z85" t="b">
        <v>0</v>
      </c>
      <c r="AA85" t="s">
        <v>456</v>
      </c>
      <c r="AB85" t="b">
        <v>0</v>
      </c>
      <c r="AD85" s="2"/>
    </row>
    <row r="86" spans="1:30" x14ac:dyDescent="0.25">
      <c r="A86">
        <v>85</v>
      </c>
      <c r="B86" t="s">
        <v>17</v>
      </c>
      <c r="C86" s="3">
        <v>33721</v>
      </c>
      <c r="D86" s="2">
        <f ca="1">DATEDIF(gym_membership[[#This Row],[birthday]],TODAY(),"y")</f>
        <v>34</v>
      </c>
      <c r="E86">
        <v>32</v>
      </c>
      <c r="F86" t="s">
        <v>18</v>
      </c>
      <c r="G86">
        <v>2</v>
      </c>
      <c r="H86" t="s">
        <v>140</v>
      </c>
      <c r="I86" t="s">
        <v>26</v>
      </c>
      <c r="J86" t="s">
        <v>94</v>
      </c>
      <c r="N86" t="b">
        <v>1</v>
      </c>
      <c r="O86" t="s">
        <v>67</v>
      </c>
      <c r="P86" t="s">
        <v>67</v>
      </c>
      <c r="S86" s="1">
        <v>0.79652777777777772</v>
      </c>
      <c r="T86" s="1">
        <v>0.91666666666666663</v>
      </c>
      <c r="U86">
        <v>173</v>
      </c>
      <c r="V86" t="b">
        <v>0</v>
      </c>
      <c r="W86" t="s">
        <v>21</v>
      </c>
      <c r="Z86" t="b">
        <v>0</v>
      </c>
      <c r="AA86" t="s">
        <v>456</v>
      </c>
      <c r="AB86" t="b">
        <v>0</v>
      </c>
      <c r="AD86" s="2"/>
    </row>
    <row r="87" spans="1:30" x14ac:dyDescent="0.25">
      <c r="A87">
        <v>86</v>
      </c>
      <c r="B87" t="s">
        <v>17</v>
      </c>
      <c r="C87" s="3">
        <v>35470</v>
      </c>
      <c r="D87" s="2">
        <f ca="1">DATEDIF(gym_membership[[#This Row],[birthday]],TODAY(),"y")</f>
        <v>29</v>
      </c>
      <c r="E87">
        <v>27</v>
      </c>
      <c r="F87" t="s">
        <v>22</v>
      </c>
      <c r="G87">
        <v>3</v>
      </c>
      <c r="H87" t="s">
        <v>93</v>
      </c>
      <c r="I87" t="s">
        <v>34</v>
      </c>
      <c r="J87" t="s">
        <v>94</v>
      </c>
      <c r="K87" t="s">
        <v>57</v>
      </c>
      <c r="N87" t="b">
        <v>1</v>
      </c>
      <c r="O87" t="s">
        <v>141</v>
      </c>
      <c r="P87" t="s">
        <v>41</v>
      </c>
      <c r="Q87" t="s">
        <v>96</v>
      </c>
      <c r="R87" t="s">
        <v>27</v>
      </c>
      <c r="S87" s="1">
        <v>0.85347222222222219</v>
      </c>
      <c r="T87" s="1">
        <v>0.89930555555555558</v>
      </c>
      <c r="U87">
        <v>66</v>
      </c>
      <c r="V87" t="b">
        <v>0</v>
      </c>
      <c r="W87" t="s">
        <v>21</v>
      </c>
      <c r="Z87" t="b">
        <v>1</v>
      </c>
      <c r="AA87" t="s">
        <v>24</v>
      </c>
      <c r="AB87" t="b">
        <v>0</v>
      </c>
      <c r="AD87" s="2"/>
    </row>
    <row r="88" spans="1:30" x14ac:dyDescent="0.25">
      <c r="A88">
        <v>87</v>
      </c>
      <c r="B88" t="s">
        <v>25</v>
      </c>
      <c r="C88" s="3">
        <v>28303</v>
      </c>
      <c r="D88" s="2">
        <f ca="1">DATEDIF(gym_membership[[#This Row],[birthday]],TODAY(),"y")</f>
        <v>49</v>
      </c>
      <c r="E88">
        <v>47</v>
      </c>
      <c r="F88" t="s">
        <v>18</v>
      </c>
      <c r="G88">
        <v>3</v>
      </c>
      <c r="H88" t="s">
        <v>142</v>
      </c>
      <c r="I88" t="s">
        <v>44</v>
      </c>
      <c r="J88" t="s">
        <v>26</v>
      </c>
      <c r="K88" t="s">
        <v>57</v>
      </c>
      <c r="N88" t="b">
        <v>1</v>
      </c>
      <c r="O88" t="s">
        <v>143</v>
      </c>
      <c r="P88" t="s">
        <v>120</v>
      </c>
      <c r="Q88" t="s">
        <v>67</v>
      </c>
      <c r="R88" t="s">
        <v>41</v>
      </c>
      <c r="S88" s="1">
        <v>0.53541666666666665</v>
      </c>
      <c r="T88" s="1">
        <v>0.60902777777777772</v>
      </c>
      <c r="U88">
        <v>106</v>
      </c>
      <c r="V88" t="b">
        <v>0</v>
      </c>
      <c r="W88" t="s">
        <v>21</v>
      </c>
      <c r="Z88" t="b">
        <v>1</v>
      </c>
      <c r="AA88" t="s">
        <v>24</v>
      </c>
      <c r="AB88" t="b">
        <v>1</v>
      </c>
      <c r="AD88" s="2"/>
    </row>
    <row r="89" spans="1:30" x14ac:dyDescent="0.25">
      <c r="A89">
        <v>88</v>
      </c>
      <c r="B89" t="s">
        <v>17</v>
      </c>
      <c r="C89" s="3">
        <v>39726</v>
      </c>
      <c r="D89" s="2">
        <f ca="1">DATEDIF(gym_membership[[#This Row],[birthday]],TODAY(),"y")</f>
        <v>17</v>
      </c>
      <c r="E89">
        <v>16</v>
      </c>
      <c r="F89" t="s">
        <v>18</v>
      </c>
      <c r="G89">
        <v>2</v>
      </c>
      <c r="H89" t="s">
        <v>140</v>
      </c>
      <c r="I89" t="s">
        <v>26</v>
      </c>
      <c r="J89" t="s">
        <v>94</v>
      </c>
      <c r="N89" t="b">
        <v>0</v>
      </c>
      <c r="O89" t="s">
        <v>21</v>
      </c>
      <c r="S89" s="1">
        <v>0.47847222222222224</v>
      </c>
      <c r="T89" s="1">
        <v>0.54374999999999996</v>
      </c>
      <c r="U89">
        <v>94</v>
      </c>
      <c r="V89" t="b">
        <v>1</v>
      </c>
      <c r="W89" t="s">
        <v>92</v>
      </c>
      <c r="X89" t="s">
        <v>31</v>
      </c>
      <c r="Y89" t="s">
        <v>51</v>
      </c>
      <c r="Z89" t="b">
        <v>0</v>
      </c>
      <c r="AA89" t="s">
        <v>456</v>
      </c>
      <c r="AB89" t="b">
        <v>1</v>
      </c>
      <c r="AD89" s="2"/>
    </row>
    <row r="90" spans="1:30" x14ac:dyDescent="0.25">
      <c r="A90">
        <v>89</v>
      </c>
      <c r="B90" t="s">
        <v>17</v>
      </c>
      <c r="C90" s="3">
        <v>31037</v>
      </c>
      <c r="D90" s="2">
        <f ca="1">DATEDIF(gym_membership[[#This Row],[birthday]],TODAY(),"y")</f>
        <v>41</v>
      </c>
      <c r="E90">
        <v>39</v>
      </c>
      <c r="F90" t="s">
        <v>22</v>
      </c>
      <c r="G90">
        <v>4</v>
      </c>
      <c r="H90" t="s">
        <v>144</v>
      </c>
      <c r="I90" t="s">
        <v>44</v>
      </c>
      <c r="J90" t="s">
        <v>34</v>
      </c>
      <c r="K90" t="s">
        <v>26</v>
      </c>
      <c r="L90" t="s">
        <v>77</v>
      </c>
      <c r="N90" t="b">
        <v>1</v>
      </c>
      <c r="O90" t="s">
        <v>103</v>
      </c>
      <c r="P90" t="s">
        <v>103</v>
      </c>
      <c r="S90" s="1">
        <v>0.44027777777777777</v>
      </c>
      <c r="T90" s="1">
        <v>0.47708333333333336</v>
      </c>
      <c r="U90">
        <v>53</v>
      </c>
      <c r="V90" t="b">
        <v>0</v>
      </c>
      <c r="W90" t="s">
        <v>21</v>
      </c>
      <c r="Z90" t="b">
        <v>0</v>
      </c>
      <c r="AA90" t="s">
        <v>456</v>
      </c>
      <c r="AB90" t="b">
        <v>1</v>
      </c>
      <c r="AD90" s="2"/>
    </row>
    <row r="91" spans="1:30" x14ac:dyDescent="0.25">
      <c r="A91">
        <v>90</v>
      </c>
      <c r="B91" t="s">
        <v>17</v>
      </c>
      <c r="C91" s="3">
        <v>28726</v>
      </c>
      <c r="D91" s="2">
        <f ca="1">DATEDIF(gym_membership[[#This Row],[birthday]],TODAY(),"y")</f>
        <v>48</v>
      </c>
      <c r="E91">
        <v>46</v>
      </c>
      <c r="F91" t="s">
        <v>22</v>
      </c>
      <c r="G91">
        <v>1</v>
      </c>
      <c r="H91" t="s">
        <v>26</v>
      </c>
      <c r="I91" t="s">
        <v>26</v>
      </c>
      <c r="N91" t="b">
        <v>0</v>
      </c>
      <c r="O91" t="s">
        <v>21</v>
      </c>
      <c r="S91" s="1">
        <v>0.46736111111111112</v>
      </c>
      <c r="T91" s="1">
        <v>0.55486111111111114</v>
      </c>
      <c r="U91">
        <v>126</v>
      </c>
      <c r="V91" t="b">
        <v>1</v>
      </c>
      <c r="W91" t="s">
        <v>125</v>
      </c>
      <c r="X91" t="s">
        <v>65</v>
      </c>
      <c r="Y91" t="s">
        <v>76</v>
      </c>
      <c r="Z91" t="b">
        <v>0</v>
      </c>
      <c r="AA91" t="s">
        <v>456</v>
      </c>
      <c r="AB91" t="b">
        <v>1</v>
      </c>
      <c r="AD91" s="2"/>
    </row>
    <row r="92" spans="1:30" x14ac:dyDescent="0.25">
      <c r="A92">
        <v>91</v>
      </c>
      <c r="B92" t="s">
        <v>17</v>
      </c>
      <c r="C92" s="3">
        <v>37688</v>
      </c>
      <c r="D92" s="2">
        <f ca="1">DATEDIF(gym_membership[[#This Row],[birthday]],TODAY(),"y")</f>
        <v>23</v>
      </c>
      <c r="E92">
        <v>21</v>
      </c>
      <c r="F92" t="s">
        <v>18</v>
      </c>
      <c r="G92">
        <v>3</v>
      </c>
      <c r="H92" t="s">
        <v>145</v>
      </c>
      <c r="I92" t="s">
        <v>34</v>
      </c>
      <c r="J92" t="s">
        <v>26</v>
      </c>
      <c r="K92" t="s">
        <v>94</v>
      </c>
      <c r="N92" t="b">
        <v>0</v>
      </c>
      <c r="O92" t="s">
        <v>21</v>
      </c>
      <c r="S92" s="1">
        <v>0.5444444444444444</v>
      </c>
      <c r="T92" s="1">
        <v>0.59791666666666665</v>
      </c>
      <c r="U92">
        <v>77</v>
      </c>
      <c r="V92" t="b">
        <v>1</v>
      </c>
      <c r="W92" t="s">
        <v>76</v>
      </c>
      <c r="X92" t="s">
        <v>76</v>
      </c>
      <c r="Z92" t="b">
        <v>0</v>
      </c>
      <c r="AA92" t="s">
        <v>456</v>
      </c>
      <c r="AB92" t="b">
        <v>0</v>
      </c>
      <c r="AD92" s="2"/>
    </row>
    <row r="93" spans="1:30" x14ac:dyDescent="0.25">
      <c r="A93">
        <v>92</v>
      </c>
      <c r="B93" t="s">
        <v>25</v>
      </c>
      <c r="C93" s="3">
        <v>34198</v>
      </c>
      <c r="D93" s="2">
        <f ca="1">DATEDIF(gym_membership[[#This Row],[birthday]],TODAY(),"y")</f>
        <v>33</v>
      </c>
      <c r="E93">
        <v>31</v>
      </c>
      <c r="F93" t="s">
        <v>22</v>
      </c>
      <c r="G93">
        <v>1</v>
      </c>
      <c r="H93" t="s">
        <v>94</v>
      </c>
      <c r="I93" t="s">
        <v>94</v>
      </c>
      <c r="N93" t="b">
        <v>1</v>
      </c>
      <c r="O93" t="s">
        <v>128</v>
      </c>
      <c r="P93" t="s">
        <v>128</v>
      </c>
      <c r="S93" s="1">
        <v>0.60902777777777772</v>
      </c>
      <c r="T93" s="1">
        <v>0.64236111111111116</v>
      </c>
      <c r="U93">
        <v>48</v>
      </c>
      <c r="V93" t="b">
        <v>0</v>
      </c>
      <c r="W93" t="s">
        <v>21</v>
      </c>
      <c r="Z93" t="b">
        <v>1</v>
      </c>
      <c r="AA93" t="s">
        <v>24</v>
      </c>
      <c r="AB93" t="b">
        <v>0</v>
      </c>
      <c r="AD93" s="2"/>
    </row>
    <row r="94" spans="1:30" x14ac:dyDescent="0.25">
      <c r="A94">
        <v>93</v>
      </c>
      <c r="B94" t="s">
        <v>17</v>
      </c>
      <c r="C94" s="3">
        <v>30839</v>
      </c>
      <c r="D94" s="2">
        <f ca="1">DATEDIF(gym_membership[[#This Row],[birthday]],TODAY(),"y")</f>
        <v>42</v>
      </c>
      <c r="E94">
        <v>40</v>
      </c>
      <c r="F94" t="s">
        <v>22</v>
      </c>
      <c r="G94">
        <v>4</v>
      </c>
      <c r="H94" t="s">
        <v>146</v>
      </c>
      <c r="I94" t="s">
        <v>34</v>
      </c>
      <c r="J94" t="s">
        <v>26</v>
      </c>
      <c r="K94" t="s">
        <v>94</v>
      </c>
      <c r="L94" t="s">
        <v>77</v>
      </c>
      <c r="N94" t="b">
        <v>1</v>
      </c>
      <c r="O94" t="s">
        <v>147</v>
      </c>
      <c r="P94" t="s">
        <v>41</v>
      </c>
      <c r="Q94" t="s">
        <v>100</v>
      </c>
      <c r="R94" t="s">
        <v>58</v>
      </c>
      <c r="S94" s="1">
        <v>0.41319444444444442</v>
      </c>
      <c r="T94" s="1">
        <v>0.4465277777777778</v>
      </c>
      <c r="U94">
        <v>48</v>
      </c>
      <c r="V94" t="b">
        <v>0</v>
      </c>
      <c r="W94" t="s">
        <v>21</v>
      </c>
      <c r="Z94" t="b">
        <v>0</v>
      </c>
      <c r="AA94" t="s">
        <v>456</v>
      </c>
      <c r="AB94" t="b">
        <v>1</v>
      </c>
      <c r="AD94" s="2"/>
    </row>
    <row r="95" spans="1:30" x14ac:dyDescent="0.25">
      <c r="A95">
        <v>94</v>
      </c>
      <c r="B95" t="s">
        <v>17</v>
      </c>
      <c r="C95" s="3">
        <v>30470</v>
      </c>
      <c r="D95" s="2">
        <f ca="1">DATEDIF(gym_membership[[#This Row],[birthday]],TODAY(),"y")</f>
        <v>43</v>
      </c>
      <c r="E95">
        <v>41</v>
      </c>
      <c r="F95" t="s">
        <v>22</v>
      </c>
      <c r="G95">
        <v>2</v>
      </c>
      <c r="H95" t="s">
        <v>98</v>
      </c>
      <c r="I95" t="s">
        <v>57</v>
      </c>
      <c r="J95" t="s">
        <v>77</v>
      </c>
      <c r="N95" t="b">
        <v>1</v>
      </c>
      <c r="O95" t="s">
        <v>148</v>
      </c>
      <c r="P95" t="s">
        <v>41</v>
      </c>
      <c r="Q95" t="s">
        <v>100</v>
      </c>
      <c r="R95" t="s">
        <v>67</v>
      </c>
      <c r="S95" s="1">
        <v>0.69652777777777775</v>
      </c>
      <c r="T95" s="1">
        <v>0.78194444444444444</v>
      </c>
      <c r="U95">
        <v>123</v>
      </c>
      <c r="V95" t="b">
        <v>1</v>
      </c>
      <c r="W95" t="s">
        <v>39</v>
      </c>
      <c r="X95" t="s">
        <v>39</v>
      </c>
      <c r="Z95" t="b">
        <v>1</v>
      </c>
      <c r="AA95" t="s">
        <v>24</v>
      </c>
      <c r="AB95" t="b">
        <v>1</v>
      </c>
      <c r="AD95" s="2"/>
    </row>
    <row r="96" spans="1:30" x14ac:dyDescent="0.25">
      <c r="A96">
        <v>95</v>
      </c>
      <c r="B96" t="s">
        <v>17</v>
      </c>
      <c r="C96" s="3">
        <v>41039</v>
      </c>
      <c r="D96" s="2">
        <f ca="1">DATEDIF(gym_membership[[#This Row],[birthday]],TODAY(),"y")</f>
        <v>14</v>
      </c>
      <c r="E96">
        <v>12</v>
      </c>
      <c r="F96" t="s">
        <v>22</v>
      </c>
      <c r="G96">
        <v>3</v>
      </c>
      <c r="H96" t="s">
        <v>46</v>
      </c>
      <c r="I96" t="s">
        <v>44</v>
      </c>
      <c r="J96" t="s">
        <v>95</v>
      </c>
      <c r="K96" t="s">
        <v>77</v>
      </c>
      <c r="N96" t="b">
        <v>1</v>
      </c>
      <c r="O96" t="s">
        <v>96</v>
      </c>
      <c r="P96" t="s">
        <v>96</v>
      </c>
      <c r="S96" s="1">
        <v>0.4236111111111111</v>
      </c>
      <c r="T96" s="1">
        <v>0.53472222222222221</v>
      </c>
      <c r="U96">
        <v>160</v>
      </c>
      <c r="V96" t="b">
        <v>1</v>
      </c>
      <c r="W96" t="s">
        <v>76</v>
      </c>
      <c r="X96" t="s">
        <v>76</v>
      </c>
      <c r="Z96" t="b">
        <v>0</v>
      </c>
      <c r="AA96" t="s">
        <v>456</v>
      </c>
      <c r="AB96" t="b">
        <v>1</v>
      </c>
      <c r="AD96" s="2"/>
    </row>
    <row r="97" spans="1:30" x14ac:dyDescent="0.25">
      <c r="A97">
        <v>96</v>
      </c>
      <c r="B97" t="s">
        <v>25</v>
      </c>
      <c r="C97" s="3">
        <v>30782</v>
      </c>
      <c r="D97" s="2">
        <f ca="1">DATEDIF(gym_membership[[#This Row],[birthday]],TODAY(),"y")</f>
        <v>42</v>
      </c>
      <c r="E97">
        <v>40</v>
      </c>
      <c r="F97" t="s">
        <v>22</v>
      </c>
      <c r="G97">
        <v>1</v>
      </c>
      <c r="H97" t="s">
        <v>26</v>
      </c>
      <c r="I97" t="s">
        <v>26</v>
      </c>
      <c r="N97" t="b">
        <v>0</v>
      </c>
      <c r="O97" t="s">
        <v>21</v>
      </c>
      <c r="S97" s="1">
        <v>0.43611111111111112</v>
      </c>
      <c r="T97" s="1">
        <v>0.55902777777777779</v>
      </c>
      <c r="U97">
        <v>177</v>
      </c>
      <c r="V97" t="b">
        <v>0</v>
      </c>
      <c r="W97" t="s">
        <v>21</v>
      </c>
      <c r="Z97" t="b">
        <v>0</v>
      </c>
      <c r="AA97" t="s">
        <v>456</v>
      </c>
      <c r="AB97" t="b">
        <v>1</v>
      </c>
      <c r="AD97" s="2"/>
    </row>
    <row r="98" spans="1:30" x14ac:dyDescent="0.25">
      <c r="A98">
        <v>97</v>
      </c>
      <c r="B98" t="s">
        <v>25</v>
      </c>
      <c r="C98" s="3">
        <v>34782</v>
      </c>
      <c r="D98" s="2">
        <f ca="1">DATEDIF(gym_membership[[#This Row],[birthday]],TODAY(),"y")</f>
        <v>31</v>
      </c>
      <c r="E98">
        <v>29</v>
      </c>
      <c r="F98" t="s">
        <v>18</v>
      </c>
      <c r="G98">
        <v>3</v>
      </c>
      <c r="H98" t="s">
        <v>71</v>
      </c>
      <c r="I98" t="s">
        <v>44</v>
      </c>
      <c r="J98" t="s">
        <v>94</v>
      </c>
      <c r="K98" t="s">
        <v>77</v>
      </c>
      <c r="N98" t="b">
        <v>0</v>
      </c>
      <c r="O98" t="s">
        <v>21</v>
      </c>
      <c r="S98" s="1">
        <v>0.59444444444444444</v>
      </c>
      <c r="T98" s="1">
        <v>0.71388888888888891</v>
      </c>
      <c r="U98">
        <v>172</v>
      </c>
      <c r="V98" t="b">
        <v>0</v>
      </c>
      <c r="W98" t="s">
        <v>21</v>
      </c>
      <c r="Z98" t="b">
        <v>0</v>
      </c>
      <c r="AA98" t="s">
        <v>456</v>
      </c>
      <c r="AB98" t="b">
        <v>0</v>
      </c>
      <c r="AD98" s="2"/>
    </row>
    <row r="99" spans="1:30" x14ac:dyDescent="0.25">
      <c r="A99">
        <v>98</v>
      </c>
      <c r="B99" t="s">
        <v>25</v>
      </c>
      <c r="C99" s="3">
        <v>38613</v>
      </c>
      <c r="D99" s="2">
        <f ca="1">DATEDIF(gym_membership[[#This Row],[birthday]],TODAY(),"y")</f>
        <v>20</v>
      </c>
      <c r="E99">
        <v>19</v>
      </c>
      <c r="F99" t="s">
        <v>18</v>
      </c>
      <c r="G99">
        <v>2</v>
      </c>
      <c r="H99" t="s">
        <v>106</v>
      </c>
      <c r="I99" t="s">
        <v>26</v>
      </c>
      <c r="J99" t="s">
        <v>57</v>
      </c>
      <c r="N99" t="b">
        <v>0</v>
      </c>
      <c r="O99" t="s">
        <v>21</v>
      </c>
      <c r="S99" s="1">
        <v>0.70625000000000004</v>
      </c>
      <c r="T99" s="1">
        <v>0.78749999999999998</v>
      </c>
      <c r="U99">
        <v>117</v>
      </c>
      <c r="V99" t="b">
        <v>1</v>
      </c>
      <c r="W99" t="s">
        <v>39</v>
      </c>
      <c r="X99" t="s">
        <v>39</v>
      </c>
      <c r="Z99" t="b">
        <v>1</v>
      </c>
      <c r="AA99" t="s">
        <v>43</v>
      </c>
      <c r="AB99" t="b">
        <v>0</v>
      </c>
      <c r="AD99" s="2"/>
    </row>
    <row r="100" spans="1:30" x14ac:dyDescent="0.25">
      <c r="A100">
        <v>99</v>
      </c>
      <c r="B100" t="s">
        <v>17</v>
      </c>
      <c r="C100" s="3">
        <v>32955</v>
      </c>
      <c r="D100" s="2">
        <f ca="1">DATEDIF(gym_membership[[#This Row],[birthday]],TODAY(),"y")</f>
        <v>36</v>
      </c>
      <c r="E100">
        <v>34</v>
      </c>
      <c r="F100" t="s">
        <v>18</v>
      </c>
      <c r="G100">
        <v>2</v>
      </c>
      <c r="H100" t="s">
        <v>62</v>
      </c>
      <c r="I100" t="s">
        <v>44</v>
      </c>
      <c r="J100" t="s">
        <v>34</v>
      </c>
      <c r="N100" t="b">
        <v>0</v>
      </c>
      <c r="O100" t="s">
        <v>21</v>
      </c>
      <c r="S100" s="1">
        <v>0.39930555555555558</v>
      </c>
      <c r="T100" s="1">
        <v>0.5</v>
      </c>
      <c r="U100">
        <v>145</v>
      </c>
      <c r="V100" t="b">
        <v>0</v>
      </c>
      <c r="W100" t="s">
        <v>21</v>
      </c>
      <c r="Z100" t="b">
        <v>1</v>
      </c>
      <c r="AA100" t="s">
        <v>45</v>
      </c>
      <c r="AB100" t="b">
        <v>1</v>
      </c>
      <c r="AD100" s="2"/>
    </row>
    <row r="101" spans="1:30" x14ac:dyDescent="0.25">
      <c r="A101">
        <v>100</v>
      </c>
      <c r="B101" t="s">
        <v>17</v>
      </c>
      <c r="C101" s="3">
        <v>37660</v>
      </c>
      <c r="D101" s="2">
        <f ca="1">DATEDIF(gym_membership[[#This Row],[birthday]],TODAY(),"y")</f>
        <v>23</v>
      </c>
      <c r="E101">
        <v>21</v>
      </c>
      <c r="F101" t="s">
        <v>18</v>
      </c>
      <c r="G101">
        <v>3</v>
      </c>
      <c r="H101" t="s">
        <v>23</v>
      </c>
      <c r="I101" t="s">
        <v>34</v>
      </c>
      <c r="J101" t="s">
        <v>26</v>
      </c>
      <c r="K101" t="s">
        <v>77</v>
      </c>
      <c r="N101" t="b">
        <v>0</v>
      </c>
      <c r="O101" t="s">
        <v>21</v>
      </c>
      <c r="S101" s="1">
        <v>0.35694444444444445</v>
      </c>
      <c r="T101" s="1">
        <v>0.41666666666666669</v>
      </c>
      <c r="U101">
        <v>86</v>
      </c>
      <c r="V101" t="b">
        <v>0</v>
      </c>
      <c r="W101" t="s">
        <v>21</v>
      </c>
      <c r="Z101" t="b">
        <v>0</v>
      </c>
      <c r="AA101" t="s">
        <v>456</v>
      </c>
      <c r="AB101" t="b">
        <v>1</v>
      </c>
      <c r="AD101" s="2"/>
    </row>
    <row r="102" spans="1:30" x14ac:dyDescent="0.25">
      <c r="A102">
        <v>101</v>
      </c>
      <c r="B102" t="s">
        <v>25</v>
      </c>
      <c r="C102" s="3">
        <v>29359</v>
      </c>
      <c r="D102" s="2">
        <f ca="1">DATEDIF(gym_membership[[#This Row],[birthday]],TODAY(),"y")</f>
        <v>46</v>
      </c>
      <c r="E102">
        <v>44</v>
      </c>
      <c r="F102" t="s">
        <v>22</v>
      </c>
      <c r="G102">
        <v>3</v>
      </c>
      <c r="H102" t="s">
        <v>149</v>
      </c>
      <c r="I102" t="s">
        <v>26</v>
      </c>
      <c r="J102" t="s">
        <v>94</v>
      </c>
      <c r="K102" t="s">
        <v>77</v>
      </c>
      <c r="N102" t="b">
        <v>1</v>
      </c>
      <c r="O102" t="s">
        <v>67</v>
      </c>
      <c r="P102" t="s">
        <v>67</v>
      </c>
      <c r="S102" s="1">
        <v>0.42430555555555555</v>
      </c>
      <c r="T102" s="1">
        <v>0.47916666666666669</v>
      </c>
      <c r="U102">
        <v>79</v>
      </c>
      <c r="V102" t="b">
        <v>1</v>
      </c>
      <c r="W102" t="s">
        <v>51</v>
      </c>
      <c r="X102" t="s">
        <v>51</v>
      </c>
      <c r="Z102" t="b">
        <v>1</v>
      </c>
      <c r="AA102" t="s">
        <v>43</v>
      </c>
      <c r="AB102" t="b">
        <v>1</v>
      </c>
      <c r="AD102" s="2"/>
    </row>
    <row r="103" spans="1:30" x14ac:dyDescent="0.25">
      <c r="A103">
        <v>102</v>
      </c>
      <c r="B103" t="s">
        <v>17</v>
      </c>
      <c r="C103" s="3">
        <v>36571</v>
      </c>
      <c r="D103" s="2">
        <f ca="1">DATEDIF(gym_membership[[#This Row],[birthday]],TODAY(),"y")</f>
        <v>26</v>
      </c>
      <c r="E103">
        <v>24</v>
      </c>
      <c r="F103" t="s">
        <v>22</v>
      </c>
      <c r="G103">
        <v>3</v>
      </c>
      <c r="H103" t="s">
        <v>150</v>
      </c>
      <c r="I103" t="s">
        <v>44</v>
      </c>
      <c r="J103" t="s">
        <v>34</v>
      </c>
      <c r="K103" t="s">
        <v>94</v>
      </c>
      <c r="N103" t="b">
        <v>1</v>
      </c>
      <c r="O103" t="s">
        <v>41</v>
      </c>
      <c r="P103" t="s">
        <v>41</v>
      </c>
      <c r="S103" s="1">
        <v>0.73750000000000004</v>
      </c>
      <c r="T103" s="1">
        <v>0.83472222222222225</v>
      </c>
      <c r="U103">
        <v>140</v>
      </c>
      <c r="V103" t="b">
        <v>0</v>
      </c>
      <c r="W103" t="s">
        <v>21</v>
      </c>
      <c r="Z103" t="b">
        <v>1</v>
      </c>
      <c r="AA103" t="s">
        <v>29</v>
      </c>
      <c r="AB103" t="b">
        <v>0</v>
      </c>
      <c r="AD103" s="2"/>
    </row>
    <row r="104" spans="1:30" x14ac:dyDescent="0.25">
      <c r="A104">
        <v>103</v>
      </c>
      <c r="B104" t="s">
        <v>25</v>
      </c>
      <c r="C104" s="3">
        <v>33183</v>
      </c>
      <c r="D104" s="2">
        <f ca="1">DATEDIF(gym_membership[[#This Row],[birthday]],TODAY(),"y")</f>
        <v>35</v>
      </c>
      <c r="E104">
        <v>33</v>
      </c>
      <c r="F104" t="s">
        <v>22</v>
      </c>
      <c r="G104">
        <v>5</v>
      </c>
      <c r="H104" t="s">
        <v>151</v>
      </c>
      <c r="I104" t="s">
        <v>44</v>
      </c>
      <c r="J104" t="s">
        <v>26</v>
      </c>
      <c r="K104" t="s">
        <v>94</v>
      </c>
      <c r="L104" t="s">
        <v>95</v>
      </c>
      <c r="M104" t="s">
        <v>77</v>
      </c>
      <c r="N104" t="b">
        <v>1</v>
      </c>
      <c r="O104" t="s">
        <v>152</v>
      </c>
      <c r="P104" t="s">
        <v>58</v>
      </c>
      <c r="Q104" t="s">
        <v>96</v>
      </c>
      <c r="S104" s="1">
        <v>0.43680555555555556</v>
      </c>
      <c r="T104" s="1">
        <v>0.47083333333333333</v>
      </c>
      <c r="U104">
        <v>49</v>
      </c>
      <c r="V104" t="b">
        <v>1</v>
      </c>
      <c r="W104" t="s">
        <v>65</v>
      </c>
      <c r="X104" t="s">
        <v>65</v>
      </c>
      <c r="Z104" t="b">
        <v>1</v>
      </c>
      <c r="AA104" t="s">
        <v>24</v>
      </c>
      <c r="AB104" t="b">
        <v>0</v>
      </c>
      <c r="AD104" s="2"/>
    </row>
    <row r="105" spans="1:30" x14ac:dyDescent="0.25">
      <c r="A105">
        <v>104</v>
      </c>
      <c r="B105" t="s">
        <v>17</v>
      </c>
      <c r="C105" s="3">
        <v>28114</v>
      </c>
      <c r="D105" s="2">
        <f ca="1">DATEDIF(gym_membership[[#This Row],[birthday]],TODAY(),"y")</f>
        <v>49</v>
      </c>
      <c r="E105">
        <v>47</v>
      </c>
      <c r="F105" t="s">
        <v>18</v>
      </c>
      <c r="G105">
        <v>2</v>
      </c>
      <c r="H105" t="s">
        <v>106</v>
      </c>
      <c r="I105" t="s">
        <v>26</v>
      </c>
      <c r="J105" t="s">
        <v>57</v>
      </c>
      <c r="N105" t="b">
        <v>0</v>
      </c>
      <c r="O105" t="s">
        <v>21</v>
      </c>
      <c r="S105" s="1">
        <v>0.55486111111111114</v>
      </c>
      <c r="T105" s="1">
        <v>0.61805555555555558</v>
      </c>
      <c r="U105">
        <v>91</v>
      </c>
      <c r="V105" t="b">
        <v>1</v>
      </c>
      <c r="W105" t="s">
        <v>39</v>
      </c>
      <c r="X105" t="s">
        <v>39</v>
      </c>
      <c r="Z105" t="b">
        <v>1</v>
      </c>
      <c r="AA105" t="s">
        <v>29</v>
      </c>
      <c r="AB105" t="b">
        <v>1</v>
      </c>
      <c r="AD105" s="2"/>
    </row>
    <row r="106" spans="1:30" x14ac:dyDescent="0.25">
      <c r="A106">
        <v>105</v>
      </c>
      <c r="B106" t="s">
        <v>17</v>
      </c>
      <c r="C106" s="3">
        <v>31486</v>
      </c>
      <c r="D106" s="2">
        <f ca="1">DATEDIF(gym_membership[[#This Row],[birthday]],TODAY(),"y")</f>
        <v>40</v>
      </c>
      <c r="E106">
        <v>38</v>
      </c>
      <c r="F106" t="s">
        <v>18</v>
      </c>
      <c r="G106">
        <v>1</v>
      </c>
      <c r="H106" t="s">
        <v>34</v>
      </c>
      <c r="I106" t="s">
        <v>34</v>
      </c>
      <c r="N106" t="b">
        <v>1</v>
      </c>
      <c r="O106" t="s">
        <v>107</v>
      </c>
      <c r="P106" t="s">
        <v>41</v>
      </c>
      <c r="Q106" t="s">
        <v>72</v>
      </c>
      <c r="S106" s="1">
        <v>0.41041666666666665</v>
      </c>
      <c r="T106" s="1">
        <v>0.43958333333333333</v>
      </c>
      <c r="U106">
        <v>42</v>
      </c>
      <c r="V106" t="b">
        <v>1</v>
      </c>
      <c r="W106" t="s">
        <v>153</v>
      </c>
      <c r="X106" t="s">
        <v>31</v>
      </c>
      <c r="Y106" t="s">
        <v>76</v>
      </c>
      <c r="Z106" t="b">
        <v>1</v>
      </c>
      <c r="AA106" t="s">
        <v>29</v>
      </c>
      <c r="AB106" t="b">
        <v>1</v>
      </c>
      <c r="AD106" s="2"/>
    </row>
    <row r="107" spans="1:30" x14ac:dyDescent="0.25">
      <c r="A107">
        <v>106</v>
      </c>
      <c r="B107" t="s">
        <v>25</v>
      </c>
      <c r="C107" s="3">
        <v>41149</v>
      </c>
      <c r="D107" s="2">
        <f ca="1">DATEDIF(gym_membership[[#This Row],[birthday]],TODAY(),"y")</f>
        <v>14</v>
      </c>
      <c r="E107">
        <v>12</v>
      </c>
      <c r="F107" t="s">
        <v>18</v>
      </c>
      <c r="G107">
        <v>3</v>
      </c>
      <c r="H107" t="s">
        <v>123</v>
      </c>
      <c r="I107" t="s">
        <v>44</v>
      </c>
      <c r="J107" t="s">
        <v>94</v>
      </c>
      <c r="K107" t="s">
        <v>95</v>
      </c>
      <c r="N107" t="b">
        <v>1</v>
      </c>
      <c r="O107" t="s">
        <v>154</v>
      </c>
      <c r="P107" t="s">
        <v>58</v>
      </c>
      <c r="Q107" t="s">
        <v>91</v>
      </c>
      <c r="S107" s="1">
        <v>0.83125000000000004</v>
      </c>
      <c r="T107" s="1">
        <v>0.89444444444444449</v>
      </c>
      <c r="U107">
        <v>91</v>
      </c>
      <c r="V107" t="b">
        <v>1</v>
      </c>
      <c r="W107" t="s">
        <v>52</v>
      </c>
      <c r="X107" t="s">
        <v>59</v>
      </c>
      <c r="Y107" t="s">
        <v>51</v>
      </c>
      <c r="Z107" t="b">
        <v>0</v>
      </c>
      <c r="AA107" t="s">
        <v>456</v>
      </c>
      <c r="AB107" t="b">
        <v>0</v>
      </c>
      <c r="AD107" s="2"/>
    </row>
    <row r="108" spans="1:30" x14ac:dyDescent="0.25">
      <c r="A108">
        <v>107</v>
      </c>
      <c r="B108" t="s">
        <v>17</v>
      </c>
      <c r="C108" s="3">
        <v>37824</v>
      </c>
      <c r="D108" s="2">
        <f ca="1">DATEDIF(gym_membership[[#This Row],[birthday]],TODAY(),"y")</f>
        <v>23</v>
      </c>
      <c r="E108">
        <v>21</v>
      </c>
      <c r="F108" t="s">
        <v>22</v>
      </c>
      <c r="G108">
        <v>2</v>
      </c>
      <c r="H108" t="s">
        <v>62</v>
      </c>
      <c r="I108" t="s">
        <v>44</v>
      </c>
      <c r="J108" t="s">
        <v>34</v>
      </c>
      <c r="N108" t="b">
        <v>0</v>
      </c>
      <c r="O108" t="s">
        <v>21</v>
      </c>
      <c r="S108" s="1">
        <v>0.84236111111111112</v>
      </c>
      <c r="T108" s="1">
        <v>0.90833333333333333</v>
      </c>
      <c r="U108">
        <v>95</v>
      </c>
      <c r="V108" t="b">
        <v>1</v>
      </c>
      <c r="W108" t="s">
        <v>39</v>
      </c>
      <c r="X108" t="s">
        <v>39</v>
      </c>
      <c r="Z108" t="b">
        <v>0</v>
      </c>
      <c r="AA108" t="s">
        <v>456</v>
      </c>
      <c r="AB108" t="b">
        <v>0</v>
      </c>
      <c r="AD108" s="2"/>
    </row>
    <row r="109" spans="1:30" x14ac:dyDescent="0.25">
      <c r="A109">
        <v>108</v>
      </c>
      <c r="B109" t="s">
        <v>17</v>
      </c>
      <c r="C109" s="3">
        <v>37320</v>
      </c>
      <c r="D109" s="2">
        <f ca="1">DATEDIF(gym_membership[[#This Row],[birthday]],TODAY(),"y")</f>
        <v>24</v>
      </c>
      <c r="E109">
        <v>22</v>
      </c>
      <c r="F109" t="s">
        <v>22</v>
      </c>
      <c r="G109">
        <v>3</v>
      </c>
      <c r="H109" t="s">
        <v>40</v>
      </c>
      <c r="I109" t="s">
        <v>26</v>
      </c>
      <c r="J109" t="s">
        <v>94</v>
      </c>
      <c r="K109" t="s">
        <v>95</v>
      </c>
      <c r="N109" t="b">
        <v>1</v>
      </c>
      <c r="O109" t="s">
        <v>155</v>
      </c>
      <c r="P109" t="s">
        <v>128</v>
      </c>
      <c r="Q109" t="s">
        <v>120</v>
      </c>
      <c r="R109" t="s">
        <v>96</v>
      </c>
      <c r="S109" s="1">
        <v>0.82777777777777772</v>
      </c>
      <c r="T109" s="1">
        <v>0.86527777777777781</v>
      </c>
      <c r="U109">
        <v>54</v>
      </c>
      <c r="V109" t="b">
        <v>0</v>
      </c>
      <c r="W109" t="s">
        <v>21</v>
      </c>
      <c r="Z109" t="b">
        <v>1</v>
      </c>
      <c r="AA109" t="s">
        <v>24</v>
      </c>
      <c r="AB109" t="b">
        <v>0</v>
      </c>
      <c r="AD109" s="2"/>
    </row>
    <row r="110" spans="1:30" x14ac:dyDescent="0.25">
      <c r="A110">
        <v>109</v>
      </c>
      <c r="B110" t="s">
        <v>17</v>
      </c>
      <c r="C110" s="3">
        <v>33324</v>
      </c>
      <c r="D110" s="2">
        <f ca="1">DATEDIF(gym_membership[[#This Row],[birthday]],TODAY(),"y")</f>
        <v>35</v>
      </c>
      <c r="E110">
        <v>33</v>
      </c>
      <c r="F110" t="s">
        <v>18</v>
      </c>
      <c r="G110">
        <v>1</v>
      </c>
      <c r="H110" t="s">
        <v>95</v>
      </c>
      <c r="I110" t="s">
        <v>95</v>
      </c>
      <c r="N110" t="b">
        <v>0</v>
      </c>
      <c r="O110" t="s">
        <v>21</v>
      </c>
      <c r="S110" s="1">
        <v>0.58472222222222225</v>
      </c>
      <c r="T110" s="1">
        <v>0.64513888888888893</v>
      </c>
      <c r="U110">
        <v>87</v>
      </c>
      <c r="V110" t="b">
        <v>0</v>
      </c>
      <c r="W110" t="s">
        <v>21</v>
      </c>
      <c r="Z110" t="b">
        <v>0</v>
      </c>
      <c r="AA110" t="s">
        <v>456</v>
      </c>
      <c r="AB110" t="b">
        <v>0</v>
      </c>
      <c r="AD110" s="2"/>
    </row>
    <row r="111" spans="1:30" x14ac:dyDescent="0.25">
      <c r="A111">
        <v>110</v>
      </c>
      <c r="B111" t="s">
        <v>17</v>
      </c>
      <c r="C111" s="3">
        <v>38047</v>
      </c>
      <c r="D111" s="2">
        <f ca="1">DATEDIF(gym_membership[[#This Row],[birthday]],TODAY(),"y")</f>
        <v>22</v>
      </c>
      <c r="E111">
        <v>20</v>
      </c>
      <c r="F111" t="s">
        <v>18</v>
      </c>
      <c r="G111">
        <v>2</v>
      </c>
      <c r="H111" t="s">
        <v>156</v>
      </c>
      <c r="I111" t="s">
        <v>44</v>
      </c>
      <c r="J111" t="s">
        <v>77</v>
      </c>
      <c r="N111" t="b">
        <v>1</v>
      </c>
      <c r="O111" t="s">
        <v>58</v>
      </c>
      <c r="P111" t="s">
        <v>58</v>
      </c>
      <c r="S111" s="1">
        <v>0.74444444444444446</v>
      </c>
      <c r="T111" s="1">
        <v>0.8618055555555556</v>
      </c>
      <c r="U111">
        <v>169</v>
      </c>
      <c r="V111" t="b">
        <v>0</v>
      </c>
      <c r="W111" t="s">
        <v>21</v>
      </c>
      <c r="Z111" t="b">
        <v>0</v>
      </c>
      <c r="AA111" t="s">
        <v>456</v>
      </c>
      <c r="AB111" t="b">
        <v>1</v>
      </c>
      <c r="AD111" s="2"/>
    </row>
    <row r="112" spans="1:30" x14ac:dyDescent="0.25">
      <c r="A112">
        <v>111</v>
      </c>
      <c r="B112" t="s">
        <v>17</v>
      </c>
      <c r="C112" s="3">
        <v>34366</v>
      </c>
      <c r="D112" s="2">
        <f ca="1">DATEDIF(gym_membership[[#This Row],[birthday]],TODAY(),"y")</f>
        <v>32</v>
      </c>
      <c r="E112">
        <v>30</v>
      </c>
      <c r="F112" t="s">
        <v>22</v>
      </c>
      <c r="G112">
        <v>3</v>
      </c>
      <c r="H112" t="s">
        <v>149</v>
      </c>
      <c r="I112" t="s">
        <v>26</v>
      </c>
      <c r="J112" t="s">
        <v>94</v>
      </c>
      <c r="K112" t="s">
        <v>77</v>
      </c>
      <c r="N112" t="b">
        <v>1</v>
      </c>
      <c r="O112" t="s">
        <v>157</v>
      </c>
      <c r="P112" t="s">
        <v>67</v>
      </c>
      <c r="Q112" t="s">
        <v>91</v>
      </c>
      <c r="S112" s="1">
        <v>0.73819444444444449</v>
      </c>
      <c r="T112" s="1">
        <v>0.76597222222222228</v>
      </c>
      <c r="U112">
        <v>40</v>
      </c>
      <c r="V112" t="b">
        <v>0</v>
      </c>
      <c r="W112" t="s">
        <v>21</v>
      </c>
      <c r="Z112" t="b">
        <v>0</v>
      </c>
      <c r="AA112" t="s">
        <v>456</v>
      </c>
      <c r="AB112" t="b">
        <v>0</v>
      </c>
      <c r="AD112" s="2"/>
    </row>
    <row r="113" spans="1:30" x14ac:dyDescent="0.25">
      <c r="A113">
        <v>112</v>
      </c>
      <c r="B113" t="s">
        <v>25</v>
      </c>
      <c r="C113" s="3">
        <v>39878</v>
      </c>
      <c r="D113" s="2">
        <f ca="1">DATEDIF(gym_membership[[#This Row],[birthday]],TODAY(),"y")</f>
        <v>17</v>
      </c>
      <c r="E113">
        <v>15</v>
      </c>
      <c r="F113" t="s">
        <v>22</v>
      </c>
      <c r="G113">
        <v>3</v>
      </c>
      <c r="H113" t="s">
        <v>71</v>
      </c>
      <c r="I113" t="s">
        <v>44</v>
      </c>
      <c r="J113" t="s">
        <v>94</v>
      </c>
      <c r="K113" t="s">
        <v>77</v>
      </c>
      <c r="N113" t="b">
        <v>1</v>
      </c>
      <c r="O113" t="s">
        <v>158</v>
      </c>
      <c r="P113" t="s">
        <v>58</v>
      </c>
      <c r="Q113" t="s">
        <v>96</v>
      </c>
      <c r="R113" t="s">
        <v>67</v>
      </c>
      <c r="S113" s="1">
        <v>0.68958333333333333</v>
      </c>
      <c r="T113" s="1">
        <v>0.79791666666666672</v>
      </c>
      <c r="U113">
        <v>156</v>
      </c>
      <c r="V113" t="b">
        <v>0</v>
      </c>
      <c r="W113" t="s">
        <v>21</v>
      </c>
      <c r="Z113" t="b">
        <v>0</v>
      </c>
      <c r="AA113" t="s">
        <v>456</v>
      </c>
      <c r="AB113" t="b">
        <v>0</v>
      </c>
      <c r="AD113" s="2"/>
    </row>
    <row r="114" spans="1:30" x14ac:dyDescent="0.25">
      <c r="A114">
        <v>113</v>
      </c>
      <c r="B114" t="s">
        <v>17</v>
      </c>
      <c r="C114" s="3">
        <v>28337</v>
      </c>
      <c r="D114" s="2">
        <f ca="1">DATEDIF(gym_membership[[#This Row],[birthday]],TODAY(),"y")</f>
        <v>49</v>
      </c>
      <c r="E114">
        <v>47</v>
      </c>
      <c r="F114" t="s">
        <v>18</v>
      </c>
      <c r="G114">
        <v>1</v>
      </c>
      <c r="H114" t="s">
        <v>94</v>
      </c>
      <c r="I114" t="s">
        <v>94</v>
      </c>
      <c r="N114" t="b">
        <v>0</v>
      </c>
      <c r="O114" t="s">
        <v>21</v>
      </c>
      <c r="S114" s="1">
        <v>0.68263888888888891</v>
      </c>
      <c r="T114" s="1">
        <v>0.75486111111111109</v>
      </c>
      <c r="U114">
        <v>104</v>
      </c>
      <c r="V114" t="b">
        <v>0</v>
      </c>
      <c r="W114" t="s">
        <v>21</v>
      </c>
      <c r="Z114" t="b">
        <v>1</v>
      </c>
      <c r="AA114" t="s">
        <v>24</v>
      </c>
      <c r="AB114" t="b">
        <v>0</v>
      </c>
      <c r="AD114" s="2"/>
    </row>
    <row r="115" spans="1:30" x14ac:dyDescent="0.25">
      <c r="A115">
        <v>114</v>
      </c>
      <c r="B115" t="s">
        <v>17</v>
      </c>
      <c r="C115" s="3">
        <v>34503</v>
      </c>
      <c r="D115" s="2">
        <f ca="1">DATEDIF(gym_membership[[#This Row],[birthday]],TODAY(),"y")</f>
        <v>32</v>
      </c>
      <c r="E115">
        <v>30</v>
      </c>
      <c r="F115" t="s">
        <v>18</v>
      </c>
      <c r="G115">
        <v>3</v>
      </c>
      <c r="H115" t="s">
        <v>138</v>
      </c>
      <c r="I115" t="s">
        <v>94</v>
      </c>
      <c r="J115" t="s">
        <v>95</v>
      </c>
      <c r="K115" t="s">
        <v>57</v>
      </c>
      <c r="N115" t="b">
        <v>0</v>
      </c>
      <c r="O115" t="s">
        <v>21</v>
      </c>
      <c r="S115" s="1">
        <v>0.57708333333333328</v>
      </c>
      <c r="T115" s="1">
        <v>0.67569444444444449</v>
      </c>
      <c r="U115">
        <v>142</v>
      </c>
      <c r="V115" t="b">
        <v>0</v>
      </c>
      <c r="W115" t="s">
        <v>21</v>
      </c>
      <c r="Z115" t="b">
        <v>1</v>
      </c>
      <c r="AA115" t="s">
        <v>43</v>
      </c>
      <c r="AB115" t="b">
        <v>1</v>
      </c>
      <c r="AD115" s="2"/>
    </row>
    <row r="116" spans="1:30" x14ac:dyDescent="0.25">
      <c r="A116">
        <v>115</v>
      </c>
      <c r="B116" t="s">
        <v>17</v>
      </c>
      <c r="C116" s="3">
        <v>40437</v>
      </c>
      <c r="D116" s="2">
        <f ca="1">DATEDIF(gym_membership[[#This Row],[birthday]],TODAY(),"y")</f>
        <v>15</v>
      </c>
      <c r="E116">
        <v>14</v>
      </c>
      <c r="F116" t="s">
        <v>18</v>
      </c>
      <c r="G116">
        <v>3</v>
      </c>
      <c r="H116" t="s">
        <v>84</v>
      </c>
      <c r="I116" t="s">
        <v>26</v>
      </c>
      <c r="J116" t="s">
        <v>94</v>
      </c>
      <c r="K116" t="s">
        <v>57</v>
      </c>
      <c r="N116" t="b">
        <v>0</v>
      </c>
      <c r="O116" t="s">
        <v>21</v>
      </c>
      <c r="S116" s="1">
        <v>0.60833333333333328</v>
      </c>
      <c r="T116" s="1">
        <v>0.63263888888888886</v>
      </c>
      <c r="U116">
        <v>35</v>
      </c>
      <c r="V116" t="b">
        <v>0</v>
      </c>
      <c r="W116" t="s">
        <v>21</v>
      </c>
      <c r="Z116" t="b">
        <v>1</v>
      </c>
      <c r="AA116" t="s">
        <v>43</v>
      </c>
      <c r="AB116" t="b">
        <v>0</v>
      </c>
      <c r="AD116" s="2"/>
    </row>
    <row r="117" spans="1:30" x14ac:dyDescent="0.25">
      <c r="A117">
        <v>116</v>
      </c>
      <c r="B117" t="s">
        <v>25</v>
      </c>
      <c r="C117" s="3">
        <v>33314</v>
      </c>
      <c r="D117" s="2">
        <f ca="1">DATEDIF(gym_membership[[#This Row],[birthday]],TODAY(),"y")</f>
        <v>35</v>
      </c>
      <c r="E117">
        <v>33</v>
      </c>
      <c r="F117" t="s">
        <v>18</v>
      </c>
      <c r="G117">
        <v>4</v>
      </c>
      <c r="H117" t="s">
        <v>127</v>
      </c>
      <c r="I117" t="s">
        <v>44</v>
      </c>
      <c r="J117" t="s">
        <v>95</v>
      </c>
      <c r="K117" t="s">
        <v>57</v>
      </c>
      <c r="L117" t="s">
        <v>77</v>
      </c>
      <c r="N117" t="b">
        <v>0</v>
      </c>
      <c r="O117" t="s">
        <v>21</v>
      </c>
      <c r="S117" s="1">
        <v>0.79722222222222228</v>
      </c>
      <c r="T117" s="1">
        <v>0.92083333333333328</v>
      </c>
      <c r="U117">
        <v>178</v>
      </c>
      <c r="V117" t="b">
        <v>1</v>
      </c>
      <c r="W117" t="s">
        <v>59</v>
      </c>
      <c r="X117" t="s">
        <v>59</v>
      </c>
      <c r="Z117" t="b">
        <v>0</v>
      </c>
      <c r="AA117" t="s">
        <v>456</v>
      </c>
      <c r="AB117" t="b">
        <v>1</v>
      </c>
      <c r="AD117" s="2"/>
    </row>
    <row r="118" spans="1:30" x14ac:dyDescent="0.25">
      <c r="A118">
        <v>117</v>
      </c>
      <c r="B118" t="s">
        <v>25</v>
      </c>
      <c r="C118" s="3">
        <v>27488</v>
      </c>
      <c r="D118" s="2">
        <f ca="1">DATEDIF(gym_membership[[#This Row],[birthday]],TODAY(),"y")</f>
        <v>51</v>
      </c>
      <c r="E118">
        <v>49</v>
      </c>
      <c r="F118" t="s">
        <v>22</v>
      </c>
      <c r="G118">
        <v>1</v>
      </c>
      <c r="H118" t="s">
        <v>57</v>
      </c>
      <c r="I118" t="s">
        <v>57</v>
      </c>
      <c r="N118" t="b">
        <v>1</v>
      </c>
      <c r="O118" t="s">
        <v>58</v>
      </c>
      <c r="P118" t="s">
        <v>58</v>
      </c>
      <c r="S118" s="1">
        <v>0.75138888888888888</v>
      </c>
      <c r="T118" s="1">
        <v>0.78055555555555556</v>
      </c>
      <c r="U118">
        <v>42</v>
      </c>
      <c r="V118" t="b">
        <v>1</v>
      </c>
      <c r="W118" t="s">
        <v>28</v>
      </c>
      <c r="X118" t="s">
        <v>76</v>
      </c>
      <c r="Y118" t="s">
        <v>65</v>
      </c>
      <c r="Z118" t="b">
        <v>0</v>
      </c>
      <c r="AA118" t="s">
        <v>456</v>
      </c>
      <c r="AB118" t="b">
        <v>0</v>
      </c>
      <c r="AD118" s="2"/>
    </row>
    <row r="119" spans="1:30" x14ac:dyDescent="0.25">
      <c r="A119">
        <v>118</v>
      </c>
      <c r="B119" t="s">
        <v>25</v>
      </c>
      <c r="C119" s="3">
        <v>30678</v>
      </c>
      <c r="D119" s="2">
        <f ca="1">DATEDIF(gym_membership[[#This Row],[birthday]],TODAY(),"y")</f>
        <v>42</v>
      </c>
      <c r="E119">
        <v>40</v>
      </c>
      <c r="F119" t="s">
        <v>22</v>
      </c>
      <c r="G119">
        <v>5</v>
      </c>
      <c r="H119" t="s">
        <v>159</v>
      </c>
      <c r="I119" t="s">
        <v>26</v>
      </c>
      <c r="J119" t="s">
        <v>94</v>
      </c>
      <c r="K119" t="s">
        <v>95</v>
      </c>
      <c r="L119" t="s">
        <v>57</v>
      </c>
      <c r="M119" t="s">
        <v>77</v>
      </c>
      <c r="N119" t="b">
        <v>0</v>
      </c>
      <c r="O119" t="s">
        <v>21</v>
      </c>
      <c r="S119" s="1">
        <v>0.34930555555555554</v>
      </c>
      <c r="T119" s="1">
        <v>0.38819444444444445</v>
      </c>
      <c r="U119">
        <v>56</v>
      </c>
      <c r="V119" t="b">
        <v>0</v>
      </c>
      <c r="W119" t="s">
        <v>21</v>
      </c>
      <c r="Z119" t="b">
        <v>0</v>
      </c>
      <c r="AA119" t="s">
        <v>456</v>
      </c>
      <c r="AB119" t="b">
        <v>0</v>
      </c>
      <c r="AD119" s="2"/>
    </row>
    <row r="120" spans="1:30" x14ac:dyDescent="0.25">
      <c r="A120">
        <v>119</v>
      </c>
      <c r="B120" t="s">
        <v>25</v>
      </c>
      <c r="C120" s="3">
        <v>28678</v>
      </c>
      <c r="D120" s="2">
        <f ca="1">DATEDIF(gym_membership[[#This Row],[birthday]],TODAY(),"y")</f>
        <v>48</v>
      </c>
      <c r="E120">
        <v>46</v>
      </c>
      <c r="F120" t="s">
        <v>18</v>
      </c>
      <c r="G120">
        <v>3</v>
      </c>
      <c r="H120" t="s">
        <v>122</v>
      </c>
      <c r="I120" t="s">
        <v>34</v>
      </c>
      <c r="J120" t="s">
        <v>94</v>
      </c>
      <c r="K120" t="s">
        <v>77</v>
      </c>
      <c r="N120" t="b">
        <v>1</v>
      </c>
      <c r="O120" t="s">
        <v>160</v>
      </c>
      <c r="P120" t="s">
        <v>67</v>
      </c>
      <c r="Q120" t="s">
        <v>41</v>
      </c>
      <c r="S120" s="1">
        <v>0.5625</v>
      </c>
      <c r="T120" s="1">
        <v>0.60902777777777772</v>
      </c>
      <c r="U120">
        <v>67</v>
      </c>
      <c r="V120" t="b">
        <v>0</v>
      </c>
      <c r="W120" t="s">
        <v>21</v>
      </c>
      <c r="Z120" t="b">
        <v>1</v>
      </c>
      <c r="AA120" t="s">
        <v>43</v>
      </c>
      <c r="AB120" t="b">
        <v>0</v>
      </c>
      <c r="AD120" s="2"/>
    </row>
    <row r="121" spans="1:30" x14ac:dyDescent="0.25">
      <c r="A121">
        <v>120</v>
      </c>
      <c r="B121" t="s">
        <v>17</v>
      </c>
      <c r="C121" s="3">
        <v>30808</v>
      </c>
      <c r="D121" s="2">
        <f ca="1">DATEDIF(gym_membership[[#This Row],[birthday]],TODAY(),"y")</f>
        <v>42</v>
      </c>
      <c r="E121">
        <v>40</v>
      </c>
      <c r="F121" t="s">
        <v>22</v>
      </c>
      <c r="G121">
        <v>3</v>
      </c>
      <c r="H121" t="s">
        <v>161</v>
      </c>
      <c r="I121" t="s">
        <v>44</v>
      </c>
      <c r="J121" t="s">
        <v>57</v>
      </c>
      <c r="K121" t="s">
        <v>77</v>
      </c>
      <c r="N121" t="b">
        <v>0</v>
      </c>
      <c r="O121" t="s">
        <v>21</v>
      </c>
      <c r="S121" s="1">
        <v>0.62152777777777779</v>
      </c>
      <c r="T121" s="1">
        <v>0.72083333333333333</v>
      </c>
      <c r="U121">
        <v>143</v>
      </c>
      <c r="V121" t="b">
        <v>1</v>
      </c>
      <c r="W121" t="s">
        <v>31</v>
      </c>
      <c r="X121" t="s">
        <v>31</v>
      </c>
      <c r="Z121" t="b">
        <v>1</v>
      </c>
      <c r="AA121" t="s">
        <v>24</v>
      </c>
      <c r="AB121" t="b">
        <v>1</v>
      </c>
      <c r="AD121" s="2"/>
    </row>
    <row r="122" spans="1:30" x14ac:dyDescent="0.25">
      <c r="A122">
        <v>121</v>
      </c>
      <c r="B122" t="s">
        <v>17</v>
      </c>
      <c r="C122" s="3">
        <v>37345</v>
      </c>
      <c r="D122" s="2">
        <f ca="1">DATEDIF(gym_membership[[#This Row],[birthday]],TODAY(),"y")</f>
        <v>24</v>
      </c>
      <c r="E122">
        <v>22</v>
      </c>
      <c r="F122" t="s">
        <v>18</v>
      </c>
      <c r="G122">
        <v>2</v>
      </c>
      <c r="H122" t="s">
        <v>111</v>
      </c>
      <c r="I122" t="s">
        <v>94</v>
      </c>
      <c r="J122" t="s">
        <v>95</v>
      </c>
      <c r="N122" t="b">
        <v>1</v>
      </c>
      <c r="O122" t="s">
        <v>162</v>
      </c>
      <c r="P122" t="s">
        <v>41</v>
      </c>
      <c r="Q122" t="s">
        <v>103</v>
      </c>
      <c r="R122" t="s">
        <v>58</v>
      </c>
      <c r="S122" s="1">
        <v>0.80486111111111114</v>
      </c>
      <c r="T122" s="1">
        <v>0.86944444444444446</v>
      </c>
      <c r="U122">
        <v>93</v>
      </c>
      <c r="V122" t="b">
        <v>1</v>
      </c>
      <c r="W122" t="s">
        <v>163</v>
      </c>
      <c r="X122" t="s">
        <v>65</v>
      </c>
      <c r="Y122" t="s">
        <v>51</v>
      </c>
      <c r="Z122" t="b">
        <v>0</v>
      </c>
      <c r="AA122" t="s">
        <v>456</v>
      </c>
      <c r="AB122" t="b">
        <v>0</v>
      </c>
      <c r="AD122" s="2"/>
    </row>
    <row r="123" spans="1:30" x14ac:dyDescent="0.25">
      <c r="A123">
        <v>122</v>
      </c>
      <c r="B123" t="s">
        <v>17</v>
      </c>
      <c r="C123" s="3">
        <v>29769</v>
      </c>
      <c r="D123" s="2">
        <f ca="1">DATEDIF(gym_membership[[#This Row],[birthday]],TODAY(),"y")</f>
        <v>45</v>
      </c>
      <c r="E123">
        <v>43</v>
      </c>
      <c r="F123" t="s">
        <v>18</v>
      </c>
      <c r="G123">
        <v>1</v>
      </c>
      <c r="H123" t="s">
        <v>44</v>
      </c>
      <c r="I123" t="s">
        <v>44</v>
      </c>
      <c r="N123" t="b">
        <v>1</v>
      </c>
      <c r="O123" t="s">
        <v>120</v>
      </c>
      <c r="P123" t="s">
        <v>120</v>
      </c>
      <c r="S123" s="1">
        <v>0.83958333333333335</v>
      </c>
      <c r="T123" s="1">
        <v>0.9145833333333333</v>
      </c>
      <c r="U123">
        <v>108</v>
      </c>
      <c r="V123" t="b">
        <v>0</v>
      </c>
      <c r="W123" t="s">
        <v>21</v>
      </c>
      <c r="Z123" t="b">
        <v>0</v>
      </c>
      <c r="AA123" t="s">
        <v>456</v>
      </c>
      <c r="AB123" t="b">
        <v>1</v>
      </c>
      <c r="AD123" s="2"/>
    </row>
    <row r="124" spans="1:30" x14ac:dyDescent="0.25">
      <c r="A124">
        <v>123</v>
      </c>
      <c r="B124" t="s">
        <v>17</v>
      </c>
      <c r="C124" s="3">
        <v>33174</v>
      </c>
      <c r="D124" s="2">
        <f ca="1">DATEDIF(gym_membership[[#This Row],[birthday]],TODAY(),"y")</f>
        <v>35</v>
      </c>
      <c r="E124">
        <v>33</v>
      </c>
      <c r="F124" t="s">
        <v>22</v>
      </c>
      <c r="G124">
        <v>3</v>
      </c>
      <c r="H124" t="s">
        <v>164</v>
      </c>
      <c r="I124" t="s">
        <v>34</v>
      </c>
      <c r="J124" t="s">
        <v>26</v>
      </c>
      <c r="K124" t="s">
        <v>95</v>
      </c>
      <c r="N124" t="b">
        <v>0</v>
      </c>
      <c r="O124" t="s">
        <v>21</v>
      </c>
      <c r="S124" s="1">
        <v>0.40694444444444444</v>
      </c>
      <c r="T124" s="1">
        <v>0.51180555555555551</v>
      </c>
      <c r="U124">
        <v>151</v>
      </c>
      <c r="V124" t="b">
        <v>0</v>
      </c>
      <c r="W124" t="s">
        <v>21</v>
      </c>
      <c r="Z124" t="b">
        <v>0</v>
      </c>
      <c r="AA124" t="s">
        <v>456</v>
      </c>
      <c r="AB124" t="b">
        <v>0</v>
      </c>
      <c r="AD124" s="2"/>
    </row>
    <row r="125" spans="1:30" x14ac:dyDescent="0.25">
      <c r="A125">
        <v>124</v>
      </c>
      <c r="B125" t="s">
        <v>17</v>
      </c>
      <c r="C125" s="3">
        <v>40388</v>
      </c>
      <c r="D125" s="2">
        <f ca="1">DATEDIF(gym_membership[[#This Row],[birthday]],TODAY(),"y")</f>
        <v>16</v>
      </c>
      <c r="E125">
        <v>14</v>
      </c>
      <c r="F125" t="s">
        <v>18</v>
      </c>
      <c r="G125">
        <v>3</v>
      </c>
      <c r="H125" t="s">
        <v>165</v>
      </c>
      <c r="I125" t="s">
        <v>44</v>
      </c>
      <c r="J125" t="s">
        <v>26</v>
      </c>
      <c r="K125" t="s">
        <v>77</v>
      </c>
      <c r="N125" t="b">
        <v>0</v>
      </c>
      <c r="O125" t="s">
        <v>21</v>
      </c>
      <c r="S125" s="1">
        <v>0.61111111111111116</v>
      </c>
      <c r="T125" s="1">
        <v>0.66180555555555554</v>
      </c>
      <c r="U125">
        <v>73</v>
      </c>
      <c r="V125" t="b">
        <v>0</v>
      </c>
      <c r="W125" t="s">
        <v>21</v>
      </c>
      <c r="Z125" t="b">
        <v>1</v>
      </c>
      <c r="AA125" t="s">
        <v>45</v>
      </c>
      <c r="AB125" t="b">
        <v>0</v>
      </c>
      <c r="AD125" s="2"/>
    </row>
    <row r="126" spans="1:30" x14ac:dyDescent="0.25">
      <c r="A126">
        <v>125</v>
      </c>
      <c r="B126" t="s">
        <v>25</v>
      </c>
      <c r="C126" s="3">
        <v>40288</v>
      </c>
      <c r="D126" s="2">
        <f ca="1">DATEDIF(gym_membership[[#This Row],[birthday]],TODAY(),"y")</f>
        <v>16</v>
      </c>
      <c r="E126">
        <v>14</v>
      </c>
      <c r="F126" t="s">
        <v>22</v>
      </c>
      <c r="G126">
        <v>3</v>
      </c>
      <c r="H126" t="s">
        <v>84</v>
      </c>
      <c r="I126" t="s">
        <v>26</v>
      </c>
      <c r="J126" t="s">
        <v>94</v>
      </c>
      <c r="K126" t="s">
        <v>57</v>
      </c>
      <c r="N126" t="b">
        <v>0</v>
      </c>
      <c r="O126" t="s">
        <v>21</v>
      </c>
      <c r="S126" s="1">
        <v>0.58958333333333335</v>
      </c>
      <c r="T126" s="1">
        <v>0.69027777777777777</v>
      </c>
      <c r="U126">
        <v>145</v>
      </c>
      <c r="V126" t="b">
        <v>0</v>
      </c>
      <c r="W126" t="s">
        <v>21</v>
      </c>
      <c r="Z126" t="b">
        <v>1</v>
      </c>
      <c r="AA126" t="s">
        <v>43</v>
      </c>
      <c r="AB126" t="b">
        <v>0</v>
      </c>
      <c r="AD126" s="2"/>
    </row>
    <row r="127" spans="1:30" x14ac:dyDescent="0.25">
      <c r="A127">
        <v>126</v>
      </c>
      <c r="B127" t="s">
        <v>25</v>
      </c>
      <c r="C127" s="3">
        <v>40102</v>
      </c>
      <c r="D127" s="2">
        <f ca="1">DATEDIF(gym_membership[[#This Row],[birthday]],TODAY(),"y")</f>
        <v>16</v>
      </c>
      <c r="E127">
        <v>14</v>
      </c>
      <c r="F127" t="s">
        <v>22</v>
      </c>
      <c r="G127">
        <v>3</v>
      </c>
      <c r="H127" t="s">
        <v>164</v>
      </c>
      <c r="I127" t="s">
        <v>34</v>
      </c>
      <c r="J127" t="s">
        <v>26</v>
      </c>
      <c r="K127" t="s">
        <v>95</v>
      </c>
      <c r="N127" t="b">
        <v>0</v>
      </c>
      <c r="O127" t="s">
        <v>21</v>
      </c>
      <c r="S127" s="1">
        <v>0.3611111111111111</v>
      </c>
      <c r="T127" s="1">
        <v>0.42708333333333331</v>
      </c>
      <c r="U127">
        <v>95</v>
      </c>
      <c r="V127" t="b">
        <v>0</v>
      </c>
      <c r="W127" t="s">
        <v>21</v>
      </c>
      <c r="Z127" t="b">
        <v>1</v>
      </c>
      <c r="AA127" t="s">
        <v>24</v>
      </c>
      <c r="AB127" t="b">
        <v>1</v>
      </c>
      <c r="AD127" s="2"/>
    </row>
    <row r="128" spans="1:30" x14ac:dyDescent="0.25">
      <c r="A128">
        <v>127</v>
      </c>
      <c r="B128" t="s">
        <v>17</v>
      </c>
      <c r="C128" s="3">
        <v>38337</v>
      </c>
      <c r="D128" s="2">
        <f ca="1">DATEDIF(gym_membership[[#This Row],[birthday]],TODAY(),"y")</f>
        <v>21</v>
      </c>
      <c r="E128">
        <v>19</v>
      </c>
      <c r="F128" t="s">
        <v>22</v>
      </c>
      <c r="G128">
        <v>3</v>
      </c>
      <c r="H128" t="s">
        <v>104</v>
      </c>
      <c r="I128" t="s">
        <v>44</v>
      </c>
      <c r="J128" t="s">
        <v>95</v>
      </c>
      <c r="K128" t="s">
        <v>57</v>
      </c>
      <c r="N128" t="b">
        <v>0</v>
      </c>
      <c r="O128" t="s">
        <v>21</v>
      </c>
      <c r="S128" s="1">
        <v>0.45694444444444443</v>
      </c>
      <c r="T128" s="1">
        <v>0.51527777777777772</v>
      </c>
      <c r="U128">
        <v>84</v>
      </c>
      <c r="V128" t="b">
        <v>0</v>
      </c>
      <c r="W128" t="s">
        <v>21</v>
      </c>
      <c r="Z128" t="b">
        <v>1</v>
      </c>
      <c r="AA128" t="s">
        <v>45</v>
      </c>
      <c r="AB128" t="b">
        <v>1</v>
      </c>
      <c r="AD128" s="2"/>
    </row>
    <row r="129" spans="1:30" x14ac:dyDescent="0.25">
      <c r="A129">
        <v>128</v>
      </c>
      <c r="B129" t="s">
        <v>17</v>
      </c>
      <c r="C129" s="3">
        <v>33661</v>
      </c>
      <c r="D129" s="2">
        <f ca="1">DATEDIF(gym_membership[[#This Row],[birthday]],TODAY(),"y")</f>
        <v>34</v>
      </c>
      <c r="E129">
        <v>32</v>
      </c>
      <c r="F129" t="s">
        <v>18</v>
      </c>
      <c r="G129">
        <v>3</v>
      </c>
      <c r="H129" t="s">
        <v>123</v>
      </c>
      <c r="I129" t="s">
        <v>44</v>
      </c>
      <c r="J129" t="s">
        <v>94</v>
      </c>
      <c r="K129" t="s">
        <v>95</v>
      </c>
      <c r="N129" t="b">
        <v>0</v>
      </c>
      <c r="O129" t="s">
        <v>21</v>
      </c>
      <c r="S129" s="1">
        <v>0.59930555555555554</v>
      </c>
      <c r="T129" s="1">
        <v>0.65833333333333333</v>
      </c>
      <c r="U129">
        <v>85</v>
      </c>
      <c r="V129" t="b">
        <v>1</v>
      </c>
      <c r="W129" t="s">
        <v>68</v>
      </c>
      <c r="X129" t="s">
        <v>31</v>
      </c>
      <c r="Y129" t="s">
        <v>59</v>
      </c>
      <c r="Z129" t="b">
        <v>0</v>
      </c>
      <c r="AA129" t="s">
        <v>456</v>
      </c>
      <c r="AB129" t="b">
        <v>0</v>
      </c>
      <c r="AD129" s="2"/>
    </row>
    <row r="130" spans="1:30" x14ac:dyDescent="0.25">
      <c r="A130">
        <v>129</v>
      </c>
      <c r="B130" t="s">
        <v>25</v>
      </c>
      <c r="C130" s="3">
        <v>28214</v>
      </c>
      <c r="D130" s="2">
        <f ca="1">DATEDIF(gym_membership[[#This Row],[birthday]],TODAY(),"y")</f>
        <v>49</v>
      </c>
      <c r="E130">
        <v>47</v>
      </c>
      <c r="F130" t="s">
        <v>18</v>
      </c>
      <c r="G130">
        <v>1</v>
      </c>
      <c r="H130" t="s">
        <v>94</v>
      </c>
      <c r="I130" t="s">
        <v>94</v>
      </c>
      <c r="N130" t="b">
        <v>1</v>
      </c>
      <c r="O130" t="s">
        <v>166</v>
      </c>
      <c r="P130" t="s">
        <v>128</v>
      </c>
      <c r="Q130" t="s">
        <v>96</v>
      </c>
      <c r="S130" s="1">
        <v>0.51666666666666672</v>
      </c>
      <c r="T130" s="1">
        <v>0.55138888888888893</v>
      </c>
      <c r="U130">
        <v>50</v>
      </c>
      <c r="V130" t="b">
        <v>0</v>
      </c>
      <c r="W130" t="s">
        <v>21</v>
      </c>
      <c r="Z130" t="b">
        <v>1</v>
      </c>
      <c r="AA130" t="s">
        <v>45</v>
      </c>
      <c r="AB130" t="b">
        <v>1</v>
      </c>
      <c r="AD130" s="2"/>
    </row>
    <row r="131" spans="1:30" x14ac:dyDescent="0.25">
      <c r="A131">
        <v>130</v>
      </c>
      <c r="B131" t="s">
        <v>25</v>
      </c>
      <c r="C131" s="3">
        <v>29733</v>
      </c>
      <c r="D131" s="2">
        <f ca="1">DATEDIF(gym_membership[[#This Row],[birthday]],TODAY(),"y")</f>
        <v>45</v>
      </c>
      <c r="E131">
        <v>43</v>
      </c>
      <c r="F131" t="s">
        <v>18</v>
      </c>
      <c r="G131">
        <v>2</v>
      </c>
      <c r="H131" t="s">
        <v>106</v>
      </c>
      <c r="I131" t="s">
        <v>26</v>
      </c>
      <c r="J131" t="s">
        <v>57</v>
      </c>
      <c r="N131" t="b">
        <v>0</v>
      </c>
      <c r="O131" t="s">
        <v>21</v>
      </c>
      <c r="S131" s="1">
        <v>0.81944444444444442</v>
      </c>
      <c r="T131" s="1">
        <v>0.93888888888888888</v>
      </c>
      <c r="U131">
        <v>172</v>
      </c>
      <c r="V131" t="b">
        <v>0</v>
      </c>
      <c r="W131" t="s">
        <v>21</v>
      </c>
      <c r="Z131" t="b">
        <v>1</v>
      </c>
      <c r="AA131" t="s">
        <v>24</v>
      </c>
      <c r="AB131" t="b">
        <v>0</v>
      </c>
      <c r="AD131" s="2"/>
    </row>
    <row r="132" spans="1:30" x14ac:dyDescent="0.25">
      <c r="A132">
        <v>131</v>
      </c>
      <c r="B132" t="s">
        <v>25</v>
      </c>
      <c r="C132" s="3">
        <v>32829</v>
      </c>
      <c r="D132" s="2">
        <f ca="1">DATEDIF(gym_membership[[#This Row],[birthday]],TODAY(),"y")</f>
        <v>36</v>
      </c>
      <c r="E132">
        <v>34</v>
      </c>
      <c r="F132" t="s">
        <v>22</v>
      </c>
      <c r="G132">
        <v>3</v>
      </c>
      <c r="H132" t="s">
        <v>104</v>
      </c>
      <c r="I132" t="s">
        <v>44</v>
      </c>
      <c r="J132" t="s">
        <v>95</v>
      </c>
      <c r="K132" t="s">
        <v>57</v>
      </c>
      <c r="N132" t="b">
        <v>0</v>
      </c>
      <c r="O132" t="s">
        <v>21</v>
      </c>
      <c r="S132" s="1">
        <v>0.65347222222222223</v>
      </c>
      <c r="T132" s="1">
        <v>0.71111111111111114</v>
      </c>
      <c r="U132">
        <v>83</v>
      </c>
      <c r="V132" t="b">
        <v>1</v>
      </c>
      <c r="W132" t="s">
        <v>167</v>
      </c>
      <c r="X132" t="s">
        <v>65</v>
      </c>
      <c r="Y132" t="s">
        <v>31</v>
      </c>
      <c r="Z132" t="b">
        <v>1</v>
      </c>
      <c r="AA132" t="s">
        <v>45</v>
      </c>
      <c r="AB132" t="b">
        <v>0</v>
      </c>
      <c r="AD132" s="2"/>
    </row>
    <row r="133" spans="1:30" x14ac:dyDescent="0.25">
      <c r="A133">
        <v>132</v>
      </c>
      <c r="B133" t="s">
        <v>25</v>
      </c>
      <c r="C133" s="3">
        <v>37699</v>
      </c>
      <c r="D133" s="2">
        <f ca="1">DATEDIF(gym_membership[[#This Row],[birthday]],TODAY(),"y")</f>
        <v>23</v>
      </c>
      <c r="E133">
        <v>21</v>
      </c>
      <c r="F133" t="s">
        <v>18</v>
      </c>
      <c r="G133">
        <v>1</v>
      </c>
      <c r="H133" t="s">
        <v>77</v>
      </c>
      <c r="I133" t="s">
        <v>77</v>
      </c>
      <c r="N133" t="b">
        <v>0</v>
      </c>
      <c r="O133" t="s">
        <v>21</v>
      </c>
      <c r="S133" s="1">
        <v>0.75763888888888886</v>
      </c>
      <c r="T133" s="1">
        <v>0.86875000000000002</v>
      </c>
      <c r="U133">
        <v>160</v>
      </c>
      <c r="V133" t="b">
        <v>1</v>
      </c>
      <c r="W133" t="s">
        <v>59</v>
      </c>
      <c r="X133" t="s">
        <v>59</v>
      </c>
      <c r="Z133" t="b">
        <v>1</v>
      </c>
      <c r="AA133" t="s">
        <v>45</v>
      </c>
      <c r="AB133" t="b">
        <v>1</v>
      </c>
      <c r="AD133" s="2"/>
    </row>
    <row r="134" spans="1:30" x14ac:dyDescent="0.25">
      <c r="A134">
        <v>133</v>
      </c>
      <c r="B134" t="s">
        <v>25</v>
      </c>
      <c r="C134" s="3">
        <v>35546</v>
      </c>
      <c r="D134" s="2">
        <f ca="1">DATEDIF(gym_membership[[#This Row],[birthday]],TODAY(),"y")</f>
        <v>29</v>
      </c>
      <c r="E134">
        <v>27</v>
      </c>
      <c r="F134" t="s">
        <v>18</v>
      </c>
      <c r="G134">
        <v>2</v>
      </c>
      <c r="H134" t="s">
        <v>119</v>
      </c>
      <c r="I134" t="s">
        <v>44</v>
      </c>
      <c r="J134" t="s">
        <v>57</v>
      </c>
      <c r="N134" t="b">
        <v>1</v>
      </c>
      <c r="O134" t="s">
        <v>72</v>
      </c>
      <c r="P134" t="s">
        <v>72</v>
      </c>
      <c r="S134" s="1">
        <v>0.4826388888888889</v>
      </c>
      <c r="T134" s="1">
        <v>0.56527777777777777</v>
      </c>
      <c r="U134">
        <v>119</v>
      </c>
      <c r="V134" t="b">
        <v>1</v>
      </c>
      <c r="W134" t="s">
        <v>59</v>
      </c>
      <c r="X134" t="s">
        <v>59</v>
      </c>
      <c r="Z134" t="b">
        <v>0</v>
      </c>
      <c r="AA134" t="s">
        <v>456</v>
      </c>
      <c r="AB134" t="b">
        <v>1</v>
      </c>
      <c r="AD134" s="2"/>
    </row>
    <row r="135" spans="1:30" x14ac:dyDescent="0.25">
      <c r="A135">
        <v>134</v>
      </c>
      <c r="B135" t="s">
        <v>17</v>
      </c>
      <c r="C135" s="3">
        <v>34201</v>
      </c>
      <c r="D135" s="2">
        <f ca="1">DATEDIF(gym_membership[[#This Row],[birthday]],TODAY(),"y")</f>
        <v>33</v>
      </c>
      <c r="E135">
        <v>31</v>
      </c>
      <c r="F135" t="s">
        <v>18</v>
      </c>
      <c r="G135">
        <v>5</v>
      </c>
      <c r="H135" t="s">
        <v>168</v>
      </c>
      <c r="I135" t="s">
        <v>44</v>
      </c>
      <c r="J135" t="s">
        <v>34</v>
      </c>
      <c r="K135" t="s">
        <v>26</v>
      </c>
      <c r="L135" t="s">
        <v>95</v>
      </c>
      <c r="M135" t="s">
        <v>77</v>
      </c>
      <c r="N135" t="b">
        <v>1</v>
      </c>
      <c r="O135" t="s">
        <v>169</v>
      </c>
      <c r="P135" t="s">
        <v>100</v>
      </c>
      <c r="Q135" t="s">
        <v>41</v>
      </c>
      <c r="S135" s="1">
        <v>0.39652777777777776</v>
      </c>
      <c r="T135" s="1">
        <v>0.46250000000000002</v>
      </c>
      <c r="U135">
        <v>95</v>
      </c>
      <c r="V135" t="b">
        <v>0</v>
      </c>
      <c r="W135" t="s">
        <v>21</v>
      </c>
      <c r="Z135" t="b">
        <v>1</v>
      </c>
      <c r="AA135" t="s">
        <v>29</v>
      </c>
      <c r="AB135" t="b">
        <v>1</v>
      </c>
      <c r="AD135" s="2"/>
    </row>
    <row r="136" spans="1:30" x14ac:dyDescent="0.25">
      <c r="A136">
        <v>135</v>
      </c>
      <c r="B136" t="s">
        <v>17</v>
      </c>
      <c r="C136" s="3">
        <v>37760</v>
      </c>
      <c r="D136" s="2">
        <f ca="1">DATEDIF(gym_membership[[#This Row],[birthday]],TODAY(),"y")</f>
        <v>23</v>
      </c>
      <c r="E136">
        <v>21</v>
      </c>
      <c r="F136" t="s">
        <v>22</v>
      </c>
      <c r="G136">
        <v>2</v>
      </c>
      <c r="H136" t="s">
        <v>111</v>
      </c>
      <c r="I136" t="s">
        <v>94</v>
      </c>
      <c r="J136" t="s">
        <v>95</v>
      </c>
      <c r="N136" t="b">
        <v>0</v>
      </c>
      <c r="O136" t="s">
        <v>21</v>
      </c>
      <c r="S136" s="1">
        <v>0.54513888888888884</v>
      </c>
      <c r="T136" s="1">
        <v>0.61458333333333337</v>
      </c>
      <c r="U136">
        <v>100</v>
      </c>
      <c r="V136" t="b">
        <v>1</v>
      </c>
      <c r="W136" t="s">
        <v>31</v>
      </c>
      <c r="X136" t="s">
        <v>31</v>
      </c>
      <c r="Z136" t="b">
        <v>1</v>
      </c>
      <c r="AA136" t="s">
        <v>29</v>
      </c>
      <c r="AB136" t="b">
        <v>0</v>
      </c>
      <c r="AD136" s="2"/>
    </row>
    <row r="137" spans="1:30" x14ac:dyDescent="0.25">
      <c r="A137">
        <v>136</v>
      </c>
      <c r="B137" t="s">
        <v>17</v>
      </c>
      <c r="C137" s="3">
        <v>39994</v>
      </c>
      <c r="D137" s="2">
        <f ca="1">DATEDIF(gym_membership[[#This Row],[birthday]],TODAY(),"y")</f>
        <v>17</v>
      </c>
      <c r="E137">
        <v>15</v>
      </c>
      <c r="F137" t="s">
        <v>22</v>
      </c>
      <c r="G137">
        <v>2</v>
      </c>
      <c r="H137" t="s">
        <v>66</v>
      </c>
      <c r="I137" t="s">
        <v>34</v>
      </c>
      <c r="J137" t="s">
        <v>57</v>
      </c>
      <c r="N137" t="b">
        <v>0</v>
      </c>
      <c r="O137" t="s">
        <v>21</v>
      </c>
      <c r="S137" s="1">
        <v>0.70208333333333328</v>
      </c>
      <c r="T137" s="1">
        <v>0.82291666666666663</v>
      </c>
      <c r="U137">
        <v>174</v>
      </c>
      <c r="V137" t="b">
        <v>1</v>
      </c>
      <c r="W137" t="s">
        <v>39</v>
      </c>
      <c r="X137" t="s">
        <v>39</v>
      </c>
      <c r="Z137" t="b">
        <v>0</v>
      </c>
      <c r="AA137" t="s">
        <v>456</v>
      </c>
      <c r="AB137" t="b">
        <v>0</v>
      </c>
      <c r="AD137" s="2"/>
    </row>
    <row r="138" spans="1:30" x14ac:dyDescent="0.25">
      <c r="A138">
        <v>137</v>
      </c>
      <c r="B138" t="s">
        <v>17</v>
      </c>
      <c r="C138" s="3">
        <v>38248</v>
      </c>
      <c r="D138" s="2">
        <f ca="1">DATEDIF(gym_membership[[#This Row],[birthday]],TODAY(),"y")</f>
        <v>21</v>
      </c>
      <c r="E138">
        <v>20</v>
      </c>
      <c r="F138" t="s">
        <v>18</v>
      </c>
      <c r="G138">
        <v>3</v>
      </c>
      <c r="H138" t="s">
        <v>40</v>
      </c>
      <c r="I138" t="s">
        <v>26</v>
      </c>
      <c r="J138" t="s">
        <v>94</v>
      </c>
      <c r="K138" t="s">
        <v>95</v>
      </c>
      <c r="N138" t="b">
        <v>0</v>
      </c>
      <c r="O138" t="s">
        <v>21</v>
      </c>
      <c r="S138" s="1">
        <v>0.43888888888888888</v>
      </c>
      <c r="T138" s="1">
        <v>0.46458333333333335</v>
      </c>
      <c r="U138">
        <v>37</v>
      </c>
      <c r="V138" t="b">
        <v>0</v>
      </c>
      <c r="W138" t="s">
        <v>21</v>
      </c>
      <c r="Z138" t="b">
        <v>0</v>
      </c>
      <c r="AA138" t="s">
        <v>456</v>
      </c>
      <c r="AB138" t="b">
        <v>1</v>
      </c>
      <c r="AD138" s="2"/>
    </row>
    <row r="139" spans="1:30" x14ac:dyDescent="0.25">
      <c r="A139">
        <v>138</v>
      </c>
      <c r="B139" t="s">
        <v>25</v>
      </c>
      <c r="C139" s="3">
        <v>32243</v>
      </c>
      <c r="D139" s="2">
        <f ca="1">DATEDIF(gym_membership[[#This Row],[birthday]],TODAY(),"y")</f>
        <v>38</v>
      </c>
      <c r="E139">
        <v>36</v>
      </c>
      <c r="F139" t="s">
        <v>22</v>
      </c>
      <c r="G139">
        <v>1</v>
      </c>
      <c r="H139" t="s">
        <v>57</v>
      </c>
      <c r="I139" t="s">
        <v>57</v>
      </c>
      <c r="N139" t="b">
        <v>0</v>
      </c>
      <c r="O139" t="s">
        <v>21</v>
      </c>
      <c r="S139" s="1">
        <v>0.87152777777777779</v>
      </c>
      <c r="T139" s="1">
        <v>0.94722222222222219</v>
      </c>
      <c r="U139">
        <v>109</v>
      </c>
      <c r="V139" t="b">
        <v>1</v>
      </c>
      <c r="W139" t="s">
        <v>65</v>
      </c>
      <c r="X139" t="s">
        <v>65</v>
      </c>
      <c r="Z139" t="b">
        <v>0</v>
      </c>
      <c r="AA139" t="s">
        <v>456</v>
      </c>
      <c r="AB139" t="b">
        <v>1</v>
      </c>
      <c r="AD139" s="2"/>
    </row>
    <row r="140" spans="1:30" x14ac:dyDescent="0.25">
      <c r="A140">
        <v>139</v>
      </c>
      <c r="B140" t="s">
        <v>17</v>
      </c>
      <c r="C140" s="3">
        <v>34066</v>
      </c>
      <c r="D140" s="2">
        <f ca="1">DATEDIF(gym_membership[[#This Row],[birthday]],TODAY(),"y")</f>
        <v>33</v>
      </c>
      <c r="E140">
        <v>31</v>
      </c>
      <c r="F140" t="s">
        <v>22</v>
      </c>
      <c r="G140">
        <v>5</v>
      </c>
      <c r="H140" t="s">
        <v>170</v>
      </c>
      <c r="I140" t="s">
        <v>44</v>
      </c>
      <c r="J140" t="s">
        <v>94</v>
      </c>
      <c r="K140" t="s">
        <v>95</v>
      </c>
      <c r="L140" t="s">
        <v>57</v>
      </c>
      <c r="M140" t="s">
        <v>77</v>
      </c>
      <c r="N140" t="b">
        <v>0</v>
      </c>
      <c r="O140" t="s">
        <v>21</v>
      </c>
      <c r="S140" s="1">
        <v>0.81111111111111112</v>
      </c>
      <c r="T140" s="1">
        <v>0.84027777777777779</v>
      </c>
      <c r="U140">
        <v>42</v>
      </c>
      <c r="V140" t="b">
        <v>0</v>
      </c>
      <c r="W140" t="s">
        <v>21</v>
      </c>
      <c r="Z140" t="b">
        <v>0</v>
      </c>
      <c r="AA140" t="s">
        <v>456</v>
      </c>
      <c r="AB140" t="b">
        <v>0</v>
      </c>
      <c r="AD140" s="2"/>
    </row>
    <row r="141" spans="1:30" x14ac:dyDescent="0.25">
      <c r="A141">
        <v>140</v>
      </c>
      <c r="B141" t="s">
        <v>17</v>
      </c>
      <c r="C141" s="3">
        <v>40234</v>
      </c>
      <c r="D141" s="2">
        <f ca="1">DATEDIF(gym_membership[[#This Row],[birthday]],TODAY(),"y")</f>
        <v>16</v>
      </c>
      <c r="E141">
        <v>14</v>
      </c>
      <c r="F141" t="s">
        <v>22</v>
      </c>
      <c r="G141">
        <v>2</v>
      </c>
      <c r="H141" t="s">
        <v>37</v>
      </c>
      <c r="I141" t="s">
        <v>34</v>
      </c>
      <c r="J141" t="s">
        <v>77</v>
      </c>
      <c r="N141" t="b">
        <v>1</v>
      </c>
      <c r="O141" t="s">
        <v>171</v>
      </c>
      <c r="P141" t="s">
        <v>100</v>
      </c>
      <c r="Q141" t="s">
        <v>120</v>
      </c>
      <c r="R141" t="s">
        <v>72</v>
      </c>
      <c r="S141" s="1">
        <v>0.43958333333333333</v>
      </c>
      <c r="T141" s="1">
        <v>0.5395833333333333</v>
      </c>
      <c r="U141">
        <v>144</v>
      </c>
      <c r="V141" t="b">
        <v>1</v>
      </c>
      <c r="W141" t="s">
        <v>172</v>
      </c>
      <c r="X141" t="s">
        <v>65</v>
      </c>
      <c r="Y141" t="s">
        <v>59</v>
      </c>
      <c r="Z141" t="b">
        <v>0</v>
      </c>
      <c r="AA141" t="s">
        <v>456</v>
      </c>
      <c r="AB141" t="b">
        <v>1</v>
      </c>
      <c r="AD141" s="2"/>
    </row>
    <row r="142" spans="1:30" x14ac:dyDescent="0.25">
      <c r="A142">
        <v>141</v>
      </c>
      <c r="B142" t="s">
        <v>25</v>
      </c>
      <c r="C142" s="3">
        <v>30830</v>
      </c>
      <c r="D142" s="2">
        <f ca="1">DATEDIF(gym_membership[[#This Row],[birthday]],TODAY(),"y")</f>
        <v>42</v>
      </c>
      <c r="E142">
        <v>40</v>
      </c>
      <c r="F142" t="s">
        <v>18</v>
      </c>
      <c r="G142">
        <v>3</v>
      </c>
      <c r="H142" t="s">
        <v>173</v>
      </c>
      <c r="I142" t="s">
        <v>34</v>
      </c>
      <c r="J142" t="s">
        <v>95</v>
      </c>
      <c r="K142" t="s">
        <v>57</v>
      </c>
      <c r="N142" t="b">
        <v>1</v>
      </c>
      <c r="O142" t="s">
        <v>85</v>
      </c>
      <c r="P142" t="s">
        <v>91</v>
      </c>
      <c r="Q142" t="s">
        <v>67</v>
      </c>
      <c r="S142" s="1">
        <v>0.83263888888888893</v>
      </c>
      <c r="T142" s="1">
        <v>0.87777777777777777</v>
      </c>
      <c r="U142">
        <v>65</v>
      </c>
      <c r="V142" t="b">
        <v>0</v>
      </c>
      <c r="W142" t="s">
        <v>21</v>
      </c>
      <c r="Z142" t="b">
        <v>1</v>
      </c>
      <c r="AA142" t="s">
        <v>29</v>
      </c>
      <c r="AB142" t="b">
        <v>0</v>
      </c>
      <c r="AD142" s="2"/>
    </row>
    <row r="143" spans="1:30" x14ac:dyDescent="0.25">
      <c r="A143">
        <v>142</v>
      </c>
      <c r="B143" t="s">
        <v>17</v>
      </c>
      <c r="C143" s="3">
        <v>37322</v>
      </c>
      <c r="D143" s="2">
        <f ca="1">DATEDIF(gym_membership[[#This Row],[birthday]],TODAY(),"y")</f>
        <v>24</v>
      </c>
      <c r="E143">
        <v>22</v>
      </c>
      <c r="F143" t="s">
        <v>22</v>
      </c>
      <c r="G143">
        <v>5</v>
      </c>
      <c r="H143" t="s">
        <v>74</v>
      </c>
      <c r="I143" t="s">
        <v>44</v>
      </c>
      <c r="J143" t="s">
        <v>26</v>
      </c>
      <c r="K143" t="s">
        <v>94</v>
      </c>
      <c r="L143" t="s">
        <v>57</v>
      </c>
      <c r="M143" t="s">
        <v>77</v>
      </c>
      <c r="N143" t="b">
        <v>1</v>
      </c>
      <c r="O143" t="s">
        <v>174</v>
      </c>
      <c r="P143" t="s">
        <v>128</v>
      </c>
      <c r="Q143" t="s">
        <v>41</v>
      </c>
      <c r="R143" t="s">
        <v>27</v>
      </c>
      <c r="S143" s="1">
        <v>0.34236111111111112</v>
      </c>
      <c r="T143" s="1">
        <v>0.40694444444444444</v>
      </c>
      <c r="U143">
        <v>93</v>
      </c>
      <c r="V143" t="b">
        <v>0</v>
      </c>
      <c r="W143" t="s">
        <v>21</v>
      </c>
      <c r="Z143" t="b">
        <v>0</v>
      </c>
      <c r="AA143" t="s">
        <v>456</v>
      </c>
      <c r="AB143" t="b">
        <v>1</v>
      </c>
      <c r="AD143" s="2"/>
    </row>
    <row r="144" spans="1:30" x14ac:dyDescent="0.25">
      <c r="A144">
        <v>143</v>
      </c>
      <c r="B144" t="s">
        <v>17</v>
      </c>
      <c r="C144" s="3">
        <v>39526</v>
      </c>
      <c r="D144" s="2">
        <f ca="1">DATEDIF(gym_membership[[#This Row],[birthday]],TODAY(),"y")</f>
        <v>18</v>
      </c>
      <c r="E144">
        <v>16</v>
      </c>
      <c r="F144" t="s">
        <v>18</v>
      </c>
      <c r="G144">
        <v>3</v>
      </c>
      <c r="H144" t="s">
        <v>71</v>
      </c>
      <c r="I144" t="s">
        <v>44</v>
      </c>
      <c r="J144" t="s">
        <v>94</v>
      </c>
      <c r="K144" t="s">
        <v>77</v>
      </c>
      <c r="N144" t="b">
        <v>0</v>
      </c>
      <c r="O144" t="s">
        <v>21</v>
      </c>
      <c r="S144" s="1">
        <v>0.72291666666666665</v>
      </c>
      <c r="T144" s="1">
        <v>0.78194444444444444</v>
      </c>
      <c r="U144">
        <v>85</v>
      </c>
      <c r="V144" t="b">
        <v>0</v>
      </c>
      <c r="W144" t="s">
        <v>21</v>
      </c>
      <c r="Z144" t="b">
        <v>1</v>
      </c>
      <c r="AA144" t="s">
        <v>24</v>
      </c>
      <c r="AB144" t="b">
        <v>0</v>
      </c>
      <c r="AD144" s="2"/>
    </row>
    <row r="145" spans="1:30" x14ac:dyDescent="0.25">
      <c r="A145">
        <v>144</v>
      </c>
      <c r="B145" t="s">
        <v>25</v>
      </c>
      <c r="C145" s="3">
        <v>27464</v>
      </c>
      <c r="D145" s="2">
        <f ca="1">DATEDIF(gym_membership[[#This Row],[birthday]],TODAY(),"y")</f>
        <v>51</v>
      </c>
      <c r="E145">
        <v>49</v>
      </c>
      <c r="F145" t="s">
        <v>18</v>
      </c>
      <c r="G145">
        <v>3</v>
      </c>
      <c r="H145" t="s">
        <v>46</v>
      </c>
      <c r="I145" t="s">
        <v>44</v>
      </c>
      <c r="J145" t="s">
        <v>95</v>
      </c>
      <c r="K145" t="s">
        <v>77</v>
      </c>
      <c r="N145" t="b">
        <v>1</v>
      </c>
      <c r="O145" t="s">
        <v>175</v>
      </c>
      <c r="P145" t="s">
        <v>27</v>
      </c>
      <c r="Q145" t="s">
        <v>72</v>
      </c>
      <c r="R145" t="s">
        <v>91</v>
      </c>
      <c r="S145" s="1">
        <v>0.85416666666666663</v>
      </c>
      <c r="T145" s="1">
        <v>0.89166666666666672</v>
      </c>
      <c r="U145">
        <v>54</v>
      </c>
      <c r="V145" t="b">
        <v>1</v>
      </c>
      <c r="W145" t="s">
        <v>31</v>
      </c>
      <c r="X145" t="s">
        <v>31</v>
      </c>
      <c r="Z145" t="b">
        <v>1</v>
      </c>
      <c r="AA145" t="s">
        <v>43</v>
      </c>
      <c r="AB145" t="b">
        <v>1</v>
      </c>
      <c r="AD145" s="2"/>
    </row>
    <row r="146" spans="1:30" x14ac:dyDescent="0.25">
      <c r="A146">
        <v>145</v>
      </c>
      <c r="B146" t="s">
        <v>17</v>
      </c>
      <c r="C146" s="3">
        <v>40350</v>
      </c>
      <c r="D146" s="2">
        <f ca="1">DATEDIF(gym_membership[[#This Row],[birthday]],TODAY(),"y")</f>
        <v>16</v>
      </c>
      <c r="E146">
        <v>14</v>
      </c>
      <c r="F146" t="s">
        <v>18</v>
      </c>
      <c r="G146">
        <v>3</v>
      </c>
      <c r="H146" t="s">
        <v>149</v>
      </c>
      <c r="I146" t="s">
        <v>26</v>
      </c>
      <c r="J146" t="s">
        <v>94</v>
      </c>
      <c r="K146" t="s">
        <v>77</v>
      </c>
      <c r="N146" t="b">
        <v>0</v>
      </c>
      <c r="O146" t="s">
        <v>21</v>
      </c>
      <c r="S146" s="1">
        <v>0.42430555555555555</v>
      </c>
      <c r="T146" s="1">
        <v>0.49722222222222223</v>
      </c>
      <c r="U146">
        <v>105</v>
      </c>
      <c r="V146" t="b">
        <v>1</v>
      </c>
      <c r="W146" t="s">
        <v>167</v>
      </c>
      <c r="X146" t="s">
        <v>65</v>
      </c>
      <c r="Y146" t="s">
        <v>31</v>
      </c>
      <c r="Z146" t="b">
        <v>0</v>
      </c>
      <c r="AA146" t="s">
        <v>456</v>
      </c>
      <c r="AB146" t="b">
        <v>1</v>
      </c>
      <c r="AD146" s="2"/>
    </row>
    <row r="147" spans="1:30" x14ac:dyDescent="0.25">
      <c r="A147">
        <v>146</v>
      </c>
      <c r="B147" t="s">
        <v>17</v>
      </c>
      <c r="C147" s="3">
        <v>40410</v>
      </c>
      <c r="D147" s="2">
        <f ca="1">DATEDIF(gym_membership[[#This Row],[birthday]],TODAY(),"y")</f>
        <v>16</v>
      </c>
      <c r="E147">
        <v>14</v>
      </c>
      <c r="F147" t="s">
        <v>22</v>
      </c>
      <c r="G147">
        <v>5</v>
      </c>
      <c r="H147" t="s">
        <v>176</v>
      </c>
      <c r="I147" t="s">
        <v>44</v>
      </c>
      <c r="J147" t="s">
        <v>26</v>
      </c>
      <c r="K147" t="s">
        <v>94</v>
      </c>
      <c r="L147" t="s">
        <v>95</v>
      </c>
      <c r="M147" t="s">
        <v>57</v>
      </c>
      <c r="N147" t="b">
        <v>1</v>
      </c>
      <c r="O147" t="s">
        <v>177</v>
      </c>
      <c r="P147" t="s">
        <v>27</v>
      </c>
      <c r="Q147" t="s">
        <v>103</v>
      </c>
      <c r="R147" t="s">
        <v>91</v>
      </c>
      <c r="S147" s="1">
        <v>0.84930555555555554</v>
      </c>
      <c r="T147" s="1">
        <v>0.89583333333333337</v>
      </c>
      <c r="U147">
        <v>67</v>
      </c>
      <c r="V147" t="b">
        <v>1</v>
      </c>
      <c r="W147" t="s">
        <v>108</v>
      </c>
      <c r="X147" t="s">
        <v>51</v>
      </c>
      <c r="Y147" t="s">
        <v>31</v>
      </c>
      <c r="Z147" t="b">
        <v>1</v>
      </c>
      <c r="AA147" t="s">
        <v>29</v>
      </c>
      <c r="AB147" t="b">
        <v>1</v>
      </c>
      <c r="AD147" s="2"/>
    </row>
    <row r="148" spans="1:30" x14ac:dyDescent="0.25">
      <c r="A148">
        <v>147</v>
      </c>
      <c r="B148" t="s">
        <v>25</v>
      </c>
      <c r="C148" s="3">
        <v>32219</v>
      </c>
      <c r="D148" s="2">
        <f ca="1">DATEDIF(gym_membership[[#This Row],[birthday]],TODAY(),"y")</f>
        <v>38</v>
      </c>
      <c r="E148">
        <v>36</v>
      </c>
      <c r="F148" t="s">
        <v>22</v>
      </c>
      <c r="G148">
        <v>3</v>
      </c>
      <c r="H148" t="s">
        <v>142</v>
      </c>
      <c r="I148" t="s">
        <v>44</v>
      </c>
      <c r="J148" t="s">
        <v>26</v>
      </c>
      <c r="K148" t="s">
        <v>57</v>
      </c>
      <c r="N148" t="b">
        <v>1</v>
      </c>
      <c r="O148" t="s">
        <v>178</v>
      </c>
      <c r="P148" t="s">
        <v>128</v>
      </c>
      <c r="Q148" t="s">
        <v>103</v>
      </c>
      <c r="R148" t="s">
        <v>58</v>
      </c>
      <c r="S148" s="1">
        <v>0.7631944444444444</v>
      </c>
      <c r="T148" s="1">
        <v>0.82430555555555551</v>
      </c>
      <c r="U148">
        <v>88</v>
      </c>
      <c r="V148" t="b">
        <v>0</v>
      </c>
      <c r="W148" t="s">
        <v>21</v>
      </c>
      <c r="Z148" t="b">
        <v>0</v>
      </c>
      <c r="AA148" t="s">
        <v>456</v>
      </c>
      <c r="AB148" t="b">
        <v>0</v>
      </c>
      <c r="AD148" s="2"/>
    </row>
    <row r="149" spans="1:30" x14ac:dyDescent="0.25">
      <c r="A149">
        <v>148</v>
      </c>
      <c r="B149" t="s">
        <v>25</v>
      </c>
      <c r="C149" s="3">
        <v>32224</v>
      </c>
      <c r="D149" s="2">
        <f ca="1">DATEDIF(gym_membership[[#This Row],[birthday]],TODAY(),"y")</f>
        <v>38</v>
      </c>
      <c r="E149">
        <v>36</v>
      </c>
      <c r="F149" t="s">
        <v>18</v>
      </c>
      <c r="G149">
        <v>2</v>
      </c>
      <c r="H149" t="s">
        <v>86</v>
      </c>
      <c r="I149" t="s">
        <v>34</v>
      </c>
      <c r="J149" t="s">
        <v>26</v>
      </c>
      <c r="N149" t="b">
        <v>1</v>
      </c>
      <c r="O149" t="s">
        <v>179</v>
      </c>
      <c r="P149" t="s">
        <v>41</v>
      </c>
      <c r="Q149" t="s">
        <v>120</v>
      </c>
      <c r="R149" t="s">
        <v>72</v>
      </c>
      <c r="S149" s="1">
        <v>0.38055555555555554</v>
      </c>
      <c r="T149" s="1">
        <v>0.47152777777777777</v>
      </c>
      <c r="U149">
        <v>131</v>
      </c>
      <c r="V149" t="b">
        <v>1</v>
      </c>
      <c r="W149" t="s">
        <v>114</v>
      </c>
      <c r="X149" t="s">
        <v>59</v>
      </c>
      <c r="Y149" t="s">
        <v>76</v>
      </c>
      <c r="Z149" t="b">
        <v>1</v>
      </c>
      <c r="AA149" t="s">
        <v>29</v>
      </c>
      <c r="AB149" t="b">
        <v>0</v>
      </c>
      <c r="AD149" s="2"/>
    </row>
    <row r="150" spans="1:30" x14ac:dyDescent="0.25">
      <c r="A150">
        <v>149</v>
      </c>
      <c r="B150" t="s">
        <v>25</v>
      </c>
      <c r="C150" s="3">
        <v>35975</v>
      </c>
      <c r="D150" s="2">
        <f ca="1">DATEDIF(gym_membership[[#This Row],[birthday]],TODAY(),"y")</f>
        <v>28</v>
      </c>
      <c r="E150">
        <v>26</v>
      </c>
      <c r="F150" t="s">
        <v>22</v>
      </c>
      <c r="G150">
        <v>2</v>
      </c>
      <c r="H150" t="s">
        <v>89</v>
      </c>
      <c r="I150" t="s">
        <v>26</v>
      </c>
      <c r="J150" t="s">
        <v>95</v>
      </c>
      <c r="N150" t="b">
        <v>0</v>
      </c>
      <c r="O150" t="s">
        <v>21</v>
      </c>
      <c r="S150" s="1">
        <v>0.74791666666666667</v>
      </c>
      <c r="T150" s="1">
        <v>0.83888888888888891</v>
      </c>
      <c r="U150">
        <v>131</v>
      </c>
      <c r="V150" t="b">
        <v>0</v>
      </c>
      <c r="W150" t="s">
        <v>21</v>
      </c>
      <c r="Z150" t="b">
        <v>0</v>
      </c>
      <c r="AA150" t="s">
        <v>456</v>
      </c>
      <c r="AB150" t="b">
        <v>0</v>
      </c>
      <c r="AD150" s="2"/>
    </row>
    <row r="151" spans="1:30" x14ac:dyDescent="0.25">
      <c r="A151">
        <v>150</v>
      </c>
      <c r="B151" t="s">
        <v>25</v>
      </c>
      <c r="C151" s="3">
        <v>38530</v>
      </c>
      <c r="D151" s="2">
        <f ca="1">DATEDIF(gym_membership[[#This Row],[birthday]],TODAY(),"y")</f>
        <v>21</v>
      </c>
      <c r="E151">
        <v>19</v>
      </c>
      <c r="F151" t="s">
        <v>18</v>
      </c>
      <c r="G151">
        <v>1</v>
      </c>
      <c r="H151" t="s">
        <v>26</v>
      </c>
      <c r="I151" t="s">
        <v>26</v>
      </c>
      <c r="N151" t="b">
        <v>0</v>
      </c>
      <c r="O151" t="s">
        <v>21</v>
      </c>
      <c r="S151" s="1">
        <v>0.67361111111111116</v>
      </c>
      <c r="T151" s="1">
        <v>0.72222222222222221</v>
      </c>
      <c r="U151">
        <v>70</v>
      </c>
      <c r="V151" t="b">
        <v>0</v>
      </c>
      <c r="W151" t="s">
        <v>21</v>
      </c>
      <c r="Z151" t="b">
        <v>1</v>
      </c>
      <c r="AA151" t="s">
        <v>29</v>
      </c>
      <c r="AB151" t="b">
        <v>1</v>
      </c>
      <c r="AD151" s="2"/>
    </row>
    <row r="152" spans="1:30" x14ac:dyDescent="0.25">
      <c r="A152">
        <v>151</v>
      </c>
      <c r="B152" t="s">
        <v>25</v>
      </c>
      <c r="C152" s="3">
        <v>34732</v>
      </c>
      <c r="D152" s="2">
        <f ca="1">DATEDIF(gym_membership[[#This Row],[birthday]],TODAY(),"y")</f>
        <v>31</v>
      </c>
      <c r="E152">
        <v>29</v>
      </c>
      <c r="F152" t="s">
        <v>18</v>
      </c>
      <c r="G152">
        <v>2</v>
      </c>
      <c r="H152" t="s">
        <v>62</v>
      </c>
      <c r="I152" t="s">
        <v>44</v>
      </c>
      <c r="J152" t="s">
        <v>34</v>
      </c>
      <c r="N152" t="b">
        <v>1</v>
      </c>
      <c r="O152" t="s">
        <v>180</v>
      </c>
      <c r="P152" t="s">
        <v>58</v>
      </c>
      <c r="Q152" t="s">
        <v>67</v>
      </c>
      <c r="S152" s="1">
        <v>0.84375</v>
      </c>
      <c r="T152" s="1">
        <v>0.92013888888888884</v>
      </c>
      <c r="U152">
        <v>110</v>
      </c>
      <c r="V152" t="b">
        <v>0</v>
      </c>
      <c r="W152" t="s">
        <v>21</v>
      </c>
      <c r="Z152" t="b">
        <v>0</v>
      </c>
      <c r="AA152" t="s">
        <v>456</v>
      </c>
      <c r="AB152" t="b">
        <v>1</v>
      </c>
      <c r="AD152" s="2"/>
    </row>
    <row r="153" spans="1:30" x14ac:dyDescent="0.25">
      <c r="A153">
        <v>152</v>
      </c>
      <c r="B153" t="s">
        <v>25</v>
      </c>
      <c r="C153" s="3">
        <v>35698</v>
      </c>
      <c r="D153" s="2">
        <f ca="1">DATEDIF(gym_membership[[#This Row],[birthday]],TODAY(),"y")</f>
        <v>28</v>
      </c>
      <c r="E153">
        <v>27</v>
      </c>
      <c r="F153" t="s">
        <v>18</v>
      </c>
      <c r="G153">
        <v>2</v>
      </c>
      <c r="H153" t="s">
        <v>32</v>
      </c>
      <c r="I153" t="s">
        <v>95</v>
      </c>
      <c r="J153" t="s">
        <v>77</v>
      </c>
      <c r="N153" t="b">
        <v>0</v>
      </c>
      <c r="O153" t="s">
        <v>21</v>
      </c>
      <c r="S153" s="1">
        <v>0.86388888888888893</v>
      </c>
      <c r="T153" s="1">
        <v>0.9145833333333333</v>
      </c>
      <c r="U153">
        <v>73</v>
      </c>
      <c r="V153" t="b">
        <v>0</v>
      </c>
      <c r="W153" t="s">
        <v>21</v>
      </c>
      <c r="Z153" t="b">
        <v>1</v>
      </c>
      <c r="AA153" t="s">
        <v>45</v>
      </c>
      <c r="AB153" t="b">
        <v>1</v>
      </c>
      <c r="AD153" s="2"/>
    </row>
    <row r="154" spans="1:30" x14ac:dyDescent="0.25">
      <c r="A154">
        <v>153</v>
      </c>
      <c r="B154" t="s">
        <v>25</v>
      </c>
      <c r="C154" s="3">
        <v>28328</v>
      </c>
      <c r="D154" s="2">
        <f ca="1">DATEDIF(gym_membership[[#This Row],[birthday]],TODAY(),"y")</f>
        <v>49</v>
      </c>
      <c r="E154">
        <v>47</v>
      </c>
      <c r="F154" t="s">
        <v>18</v>
      </c>
      <c r="G154">
        <v>2</v>
      </c>
      <c r="H154" t="s">
        <v>119</v>
      </c>
      <c r="I154" t="s">
        <v>44</v>
      </c>
      <c r="J154" t="s">
        <v>57</v>
      </c>
      <c r="N154" t="b">
        <v>1</v>
      </c>
      <c r="O154" t="s">
        <v>181</v>
      </c>
      <c r="P154" t="s">
        <v>128</v>
      </c>
      <c r="Q154" t="s">
        <v>41</v>
      </c>
      <c r="S154" s="1">
        <v>0.69513888888888886</v>
      </c>
      <c r="T154" s="1">
        <v>0.75138888888888888</v>
      </c>
      <c r="U154">
        <v>81</v>
      </c>
      <c r="V154" t="b">
        <v>1</v>
      </c>
      <c r="W154" t="s">
        <v>68</v>
      </c>
      <c r="X154" t="s">
        <v>31</v>
      </c>
      <c r="Y154" t="s">
        <v>59</v>
      </c>
      <c r="Z154" t="b">
        <v>1</v>
      </c>
      <c r="AA154" t="s">
        <v>24</v>
      </c>
      <c r="AB154" t="b">
        <v>1</v>
      </c>
      <c r="AD154" s="2"/>
    </row>
    <row r="155" spans="1:30" x14ac:dyDescent="0.25">
      <c r="A155">
        <v>154</v>
      </c>
      <c r="B155" t="s">
        <v>25</v>
      </c>
      <c r="C155" s="3">
        <v>31122</v>
      </c>
      <c r="D155" s="2">
        <f ca="1">DATEDIF(gym_membership[[#This Row],[birthday]],TODAY(),"y")</f>
        <v>41</v>
      </c>
      <c r="E155">
        <v>39</v>
      </c>
      <c r="F155" t="s">
        <v>22</v>
      </c>
      <c r="G155">
        <v>2</v>
      </c>
      <c r="H155" t="s">
        <v>98</v>
      </c>
      <c r="I155" t="s">
        <v>57</v>
      </c>
      <c r="J155" t="s">
        <v>77</v>
      </c>
      <c r="N155" t="b">
        <v>1</v>
      </c>
      <c r="O155" t="s">
        <v>182</v>
      </c>
      <c r="P155" t="s">
        <v>120</v>
      </c>
      <c r="Q155" t="s">
        <v>41</v>
      </c>
      <c r="S155" s="1">
        <v>0.47083333333333333</v>
      </c>
      <c r="T155" s="1">
        <v>0.56111111111111112</v>
      </c>
      <c r="U155">
        <v>130</v>
      </c>
      <c r="V155" t="b">
        <v>1</v>
      </c>
      <c r="W155" t="s">
        <v>163</v>
      </c>
      <c r="X155" t="s">
        <v>65</v>
      </c>
      <c r="Y155" t="s">
        <v>51</v>
      </c>
      <c r="Z155" t="b">
        <v>1</v>
      </c>
      <c r="AA155" t="s">
        <v>29</v>
      </c>
      <c r="AB155" t="b">
        <v>0</v>
      </c>
      <c r="AD155" s="2"/>
    </row>
    <row r="156" spans="1:30" x14ac:dyDescent="0.25">
      <c r="A156">
        <v>155</v>
      </c>
      <c r="B156" t="s">
        <v>25</v>
      </c>
      <c r="C156" s="3">
        <v>28364</v>
      </c>
      <c r="D156" s="2">
        <f ca="1">DATEDIF(gym_membership[[#This Row],[birthday]],TODAY(),"y")</f>
        <v>49</v>
      </c>
      <c r="E156">
        <v>47</v>
      </c>
      <c r="F156" t="s">
        <v>22</v>
      </c>
      <c r="G156">
        <v>1</v>
      </c>
      <c r="H156" t="s">
        <v>44</v>
      </c>
      <c r="I156" t="s">
        <v>44</v>
      </c>
      <c r="N156" t="b">
        <v>0</v>
      </c>
      <c r="O156" t="s">
        <v>21</v>
      </c>
      <c r="S156" s="1">
        <v>0.6118055555555556</v>
      </c>
      <c r="T156" s="1">
        <v>0.63958333333333328</v>
      </c>
      <c r="U156">
        <v>40</v>
      </c>
      <c r="V156" t="b">
        <v>1</v>
      </c>
      <c r="W156" t="s">
        <v>59</v>
      </c>
      <c r="X156" t="s">
        <v>59</v>
      </c>
      <c r="Z156" t="b">
        <v>1</v>
      </c>
      <c r="AA156" t="s">
        <v>45</v>
      </c>
      <c r="AB156" t="b">
        <v>0</v>
      </c>
      <c r="AD156" s="2"/>
    </row>
    <row r="157" spans="1:30" x14ac:dyDescent="0.25">
      <c r="A157">
        <v>156</v>
      </c>
      <c r="B157" t="s">
        <v>17</v>
      </c>
      <c r="C157" s="3">
        <v>38018</v>
      </c>
      <c r="D157" s="2">
        <f ca="1">DATEDIF(gym_membership[[#This Row],[birthday]],TODAY(),"y")</f>
        <v>22</v>
      </c>
      <c r="E157">
        <v>20</v>
      </c>
      <c r="F157" t="s">
        <v>18</v>
      </c>
      <c r="G157">
        <v>2</v>
      </c>
      <c r="H157" t="s">
        <v>183</v>
      </c>
      <c r="I157" t="s">
        <v>44</v>
      </c>
      <c r="J157" t="s">
        <v>26</v>
      </c>
      <c r="N157" t="b">
        <v>0</v>
      </c>
      <c r="O157" t="s">
        <v>21</v>
      </c>
      <c r="S157" s="1">
        <v>0.78749999999999998</v>
      </c>
      <c r="T157" s="1">
        <v>0.81736111111111109</v>
      </c>
      <c r="U157">
        <v>43</v>
      </c>
      <c r="V157" t="b">
        <v>1</v>
      </c>
      <c r="W157" t="s">
        <v>31</v>
      </c>
      <c r="X157" t="s">
        <v>31</v>
      </c>
      <c r="Z157" t="b">
        <v>1</v>
      </c>
      <c r="AA157" t="s">
        <v>24</v>
      </c>
      <c r="AB157" t="b">
        <v>1</v>
      </c>
      <c r="AD157" s="2"/>
    </row>
    <row r="158" spans="1:30" x14ac:dyDescent="0.25">
      <c r="A158">
        <v>157</v>
      </c>
      <c r="B158" t="s">
        <v>17</v>
      </c>
      <c r="C158" s="3">
        <v>38229</v>
      </c>
      <c r="D158" s="2">
        <f ca="1">DATEDIF(gym_membership[[#This Row],[birthday]],TODAY(),"y")</f>
        <v>22</v>
      </c>
      <c r="E158">
        <v>20</v>
      </c>
      <c r="F158" t="s">
        <v>22</v>
      </c>
      <c r="G158">
        <v>4</v>
      </c>
      <c r="H158" t="s">
        <v>127</v>
      </c>
      <c r="I158" t="s">
        <v>44</v>
      </c>
      <c r="J158" t="s">
        <v>95</v>
      </c>
      <c r="K158" t="s">
        <v>57</v>
      </c>
      <c r="L158" t="s">
        <v>77</v>
      </c>
      <c r="N158" t="b">
        <v>0</v>
      </c>
      <c r="O158" t="s">
        <v>21</v>
      </c>
      <c r="S158" s="1">
        <v>0.49375000000000002</v>
      </c>
      <c r="T158" s="1">
        <v>0.59791666666666665</v>
      </c>
      <c r="U158">
        <v>150</v>
      </c>
      <c r="V158" t="b">
        <v>1</v>
      </c>
      <c r="W158" t="s">
        <v>31</v>
      </c>
      <c r="X158" t="s">
        <v>31</v>
      </c>
      <c r="Z158" t="b">
        <v>1</v>
      </c>
      <c r="AA158" t="s">
        <v>43</v>
      </c>
      <c r="AB158" t="b">
        <v>0</v>
      </c>
      <c r="AD158" s="2"/>
    </row>
    <row r="159" spans="1:30" x14ac:dyDescent="0.25">
      <c r="A159">
        <v>158</v>
      </c>
      <c r="B159" t="s">
        <v>25</v>
      </c>
      <c r="C159" s="3">
        <v>37289</v>
      </c>
      <c r="D159" s="2">
        <f ca="1">DATEDIF(gym_membership[[#This Row],[birthday]],TODAY(),"y")</f>
        <v>24</v>
      </c>
      <c r="E159">
        <v>22</v>
      </c>
      <c r="F159" t="s">
        <v>22</v>
      </c>
      <c r="G159">
        <v>2</v>
      </c>
      <c r="H159" t="s">
        <v>183</v>
      </c>
      <c r="I159" t="s">
        <v>44</v>
      </c>
      <c r="J159" t="s">
        <v>26</v>
      </c>
      <c r="N159" t="b">
        <v>0</v>
      </c>
      <c r="O159" t="s">
        <v>21</v>
      </c>
      <c r="S159" s="1">
        <v>0.59166666666666667</v>
      </c>
      <c r="T159" s="1">
        <v>0.69652777777777775</v>
      </c>
      <c r="U159">
        <v>151</v>
      </c>
      <c r="V159" t="b">
        <v>1</v>
      </c>
      <c r="W159" t="s">
        <v>59</v>
      </c>
      <c r="X159" t="s">
        <v>59</v>
      </c>
      <c r="Z159" t="b">
        <v>1</v>
      </c>
      <c r="AA159" t="s">
        <v>29</v>
      </c>
      <c r="AB159" t="b">
        <v>1</v>
      </c>
      <c r="AD159" s="2"/>
    </row>
    <row r="160" spans="1:30" x14ac:dyDescent="0.25">
      <c r="A160">
        <v>159</v>
      </c>
      <c r="B160" t="s">
        <v>17</v>
      </c>
      <c r="C160" s="3">
        <v>37410</v>
      </c>
      <c r="D160" s="2">
        <f ca="1">DATEDIF(gym_membership[[#This Row],[birthday]],TODAY(),"y")</f>
        <v>24</v>
      </c>
      <c r="E160">
        <v>22</v>
      </c>
      <c r="F160" t="s">
        <v>22</v>
      </c>
      <c r="G160">
        <v>3</v>
      </c>
      <c r="H160" t="s">
        <v>149</v>
      </c>
      <c r="I160" t="s">
        <v>26</v>
      </c>
      <c r="J160" t="s">
        <v>94</v>
      </c>
      <c r="K160" t="s">
        <v>77</v>
      </c>
      <c r="N160" t="b">
        <v>1</v>
      </c>
      <c r="O160" t="s">
        <v>184</v>
      </c>
      <c r="P160" t="s">
        <v>120</v>
      </c>
      <c r="Q160" t="s">
        <v>67</v>
      </c>
      <c r="S160" s="1">
        <v>0.74791666666666667</v>
      </c>
      <c r="T160" s="1">
        <v>0.82361111111111107</v>
      </c>
      <c r="U160">
        <v>109</v>
      </c>
      <c r="V160" t="b">
        <v>0</v>
      </c>
      <c r="W160" t="s">
        <v>21</v>
      </c>
      <c r="Z160" t="b">
        <v>1</v>
      </c>
      <c r="AA160" t="s">
        <v>45</v>
      </c>
      <c r="AB160" t="b">
        <v>0</v>
      </c>
      <c r="AD160" s="2"/>
    </row>
    <row r="161" spans="1:30" x14ac:dyDescent="0.25">
      <c r="A161">
        <v>160</v>
      </c>
      <c r="B161" t="s">
        <v>17</v>
      </c>
      <c r="C161" s="3">
        <v>36604</v>
      </c>
      <c r="D161" s="2">
        <f ca="1">DATEDIF(gym_membership[[#This Row],[birthday]],TODAY(),"y")</f>
        <v>26</v>
      </c>
      <c r="E161">
        <v>24</v>
      </c>
      <c r="F161" t="s">
        <v>18</v>
      </c>
      <c r="G161">
        <v>3</v>
      </c>
      <c r="H161" t="s">
        <v>185</v>
      </c>
      <c r="I161" t="s">
        <v>34</v>
      </c>
      <c r="J161" t="s">
        <v>95</v>
      </c>
      <c r="K161" t="s">
        <v>77</v>
      </c>
      <c r="N161" t="b">
        <v>1</v>
      </c>
      <c r="O161" t="s">
        <v>186</v>
      </c>
      <c r="P161" t="s">
        <v>96</v>
      </c>
      <c r="Q161" t="s">
        <v>120</v>
      </c>
      <c r="R161" t="s">
        <v>100</v>
      </c>
      <c r="S161" s="1">
        <v>0.63680555555555551</v>
      </c>
      <c r="T161" s="1">
        <v>0.6694444444444444</v>
      </c>
      <c r="U161">
        <v>47</v>
      </c>
      <c r="V161" t="b">
        <v>0</v>
      </c>
      <c r="W161" t="s">
        <v>21</v>
      </c>
      <c r="Z161" t="b">
        <v>1</v>
      </c>
      <c r="AA161" t="s">
        <v>45</v>
      </c>
      <c r="AB161" t="b">
        <v>1</v>
      </c>
      <c r="AD161" s="2"/>
    </row>
    <row r="162" spans="1:30" x14ac:dyDescent="0.25">
      <c r="A162">
        <v>161</v>
      </c>
      <c r="B162" t="s">
        <v>17</v>
      </c>
      <c r="C162" s="3">
        <v>39073</v>
      </c>
      <c r="D162" s="2">
        <f ca="1">DATEDIF(gym_membership[[#This Row],[birthday]],TODAY(),"y")</f>
        <v>19</v>
      </c>
      <c r="E162">
        <v>17</v>
      </c>
      <c r="F162" t="s">
        <v>22</v>
      </c>
      <c r="G162">
        <v>3</v>
      </c>
      <c r="H162" t="s">
        <v>56</v>
      </c>
      <c r="I162" t="s">
        <v>26</v>
      </c>
      <c r="J162" t="s">
        <v>95</v>
      </c>
      <c r="K162" t="s">
        <v>57</v>
      </c>
      <c r="N162" t="b">
        <v>1</v>
      </c>
      <c r="O162" t="s">
        <v>27</v>
      </c>
      <c r="P162" t="s">
        <v>27</v>
      </c>
      <c r="S162" s="1">
        <v>0.65347222222222223</v>
      </c>
      <c r="T162" s="1">
        <v>0.70694444444444449</v>
      </c>
      <c r="U162">
        <v>77</v>
      </c>
      <c r="V162" t="b">
        <v>1</v>
      </c>
      <c r="W162" t="s">
        <v>28</v>
      </c>
      <c r="X162" t="s">
        <v>76</v>
      </c>
      <c r="Y162" t="s">
        <v>65</v>
      </c>
      <c r="Z162" t="b">
        <v>1</v>
      </c>
      <c r="AA162" t="s">
        <v>24</v>
      </c>
      <c r="AB162" t="b">
        <v>0</v>
      </c>
      <c r="AD162" s="2"/>
    </row>
    <row r="163" spans="1:30" x14ac:dyDescent="0.25">
      <c r="A163">
        <v>162</v>
      </c>
      <c r="B163" t="s">
        <v>25</v>
      </c>
      <c r="C163" s="3">
        <v>34726</v>
      </c>
      <c r="D163" s="2">
        <f ca="1">DATEDIF(gym_membership[[#This Row],[birthday]],TODAY(),"y")</f>
        <v>31</v>
      </c>
      <c r="E163">
        <v>29</v>
      </c>
      <c r="F163" t="s">
        <v>22</v>
      </c>
      <c r="G163">
        <v>1</v>
      </c>
      <c r="H163" t="s">
        <v>94</v>
      </c>
      <c r="I163" t="s">
        <v>94</v>
      </c>
      <c r="N163" t="b">
        <v>0</v>
      </c>
      <c r="O163" t="s">
        <v>21</v>
      </c>
      <c r="S163" s="1">
        <v>0.70833333333333337</v>
      </c>
      <c r="T163" s="1">
        <v>0.7729166666666667</v>
      </c>
      <c r="U163">
        <v>93</v>
      </c>
      <c r="V163" t="b">
        <v>1</v>
      </c>
      <c r="W163" t="s">
        <v>65</v>
      </c>
      <c r="X163" t="s">
        <v>65</v>
      </c>
      <c r="Z163" t="b">
        <v>0</v>
      </c>
      <c r="AA163" t="s">
        <v>456</v>
      </c>
      <c r="AB163" t="b">
        <v>1</v>
      </c>
      <c r="AD163" s="2"/>
    </row>
    <row r="164" spans="1:30" x14ac:dyDescent="0.25">
      <c r="A164">
        <v>163</v>
      </c>
      <c r="B164" t="s">
        <v>25</v>
      </c>
      <c r="C164" s="3">
        <v>32105</v>
      </c>
      <c r="D164" s="2">
        <f ca="1">DATEDIF(gym_membership[[#This Row],[birthday]],TODAY(),"y")</f>
        <v>38</v>
      </c>
      <c r="E164">
        <v>36</v>
      </c>
      <c r="F164" t="s">
        <v>18</v>
      </c>
      <c r="G164">
        <v>3</v>
      </c>
      <c r="H164" t="s">
        <v>35</v>
      </c>
      <c r="I164" t="s">
        <v>26</v>
      </c>
      <c r="J164" t="s">
        <v>95</v>
      </c>
      <c r="K164" t="s">
        <v>77</v>
      </c>
      <c r="N164" t="b">
        <v>0</v>
      </c>
      <c r="O164" t="s">
        <v>21</v>
      </c>
      <c r="S164" s="1">
        <v>0.36249999999999999</v>
      </c>
      <c r="T164" s="1">
        <v>0.47986111111111113</v>
      </c>
      <c r="U164">
        <v>169</v>
      </c>
      <c r="V164" t="b">
        <v>1</v>
      </c>
      <c r="W164" t="s">
        <v>76</v>
      </c>
      <c r="X164" t="s">
        <v>76</v>
      </c>
      <c r="Z164" t="b">
        <v>1</v>
      </c>
      <c r="AA164" t="s">
        <v>43</v>
      </c>
      <c r="AB164" t="b">
        <v>1</v>
      </c>
      <c r="AD164" s="2"/>
    </row>
    <row r="165" spans="1:30" x14ac:dyDescent="0.25">
      <c r="A165">
        <v>164</v>
      </c>
      <c r="B165" t="s">
        <v>25</v>
      </c>
      <c r="C165" s="3">
        <v>38015</v>
      </c>
      <c r="D165" s="2">
        <f ca="1">DATEDIF(gym_membership[[#This Row],[birthday]],TODAY(),"y")</f>
        <v>22</v>
      </c>
      <c r="E165">
        <v>20</v>
      </c>
      <c r="F165" t="s">
        <v>22</v>
      </c>
      <c r="G165">
        <v>5</v>
      </c>
      <c r="H165" t="s">
        <v>187</v>
      </c>
      <c r="I165" t="s">
        <v>34</v>
      </c>
      <c r="J165" t="s">
        <v>26</v>
      </c>
      <c r="K165" t="s">
        <v>95</v>
      </c>
      <c r="L165" t="s">
        <v>57</v>
      </c>
      <c r="M165" t="s">
        <v>77</v>
      </c>
      <c r="N165" t="b">
        <v>0</v>
      </c>
      <c r="O165" t="s">
        <v>21</v>
      </c>
      <c r="S165" s="1">
        <v>0.7368055555555556</v>
      </c>
      <c r="T165" s="1">
        <v>0.84861111111111109</v>
      </c>
      <c r="U165">
        <v>161</v>
      </c>
      <c r="V165" t="b">
        <v>0</v>
      </c>
      <c r="W165" t="s">
        <v>21</v>
      </c>
      <c r="Z165" t="b">
        <v>0</v>
      </c>
      <c r="AA165" t="s">
        <v>456</v>
      </c>
      <c r="AB165" t="b">
        <v>0</v>
      </c>
      <c r="AD165" s="2"/>
    </row>
    <row r="166" spans="1:30" x14ac:dyDescent="0.25">
      <c r="A166">
        <v>165</v>
      </c>
      <c r="B166" t="s">
        <v>25</v>
      </c>
      <c r="C166" s="3">
        <v>34841</v>
      </c>
      <c r="D166" s="2">
        <f ca="1">DATEDIF(gym_membership[[#This Row],[birthday]],TODAY(),"y")</f>
        <v>31</v>
      </c>
      <c r="E166">
        <v>29</v>
      </c>
      <c r="F166" t="s">
        <v>22</v>
      </c>
      <c r="G166">
        <v>2</v>
      </c>
      <c r="H166" t="s">
        <v>183</v>
      </c>
      <c r="I166" t="s">
        <v>44</v>
      </c>
      <c r="J166" t="s">
        <v>26</v>
      </c>
      <c r="N166" t="b">
        <v>1</v>
      </c>
      <c r="O166" t="s">
        <v>72</v>
      </c>
      <c r="P166" t="s">
        <v>72</v>
      </c>
      <c r="S166" s="1">
        <v>0.61458333333333337</v>
      </c>
      <c r="T166" s="1">
        <v>0.7368055555555556</v>
      </c>
      <c r="U166">
        <v>176</v>
      </c>
      <c r="V166" t="b">
        <v>0</v>
      </c>
      <c r="W166" t="s">
        <v>21</v>
      </c>
      <c r="Z166" t="b">
        <v>1</v>
      </c>
      <c r="AA166" t="s">
        <v>24</v>
      </c>
      <c r="AB166" t="b">
        <v>1</v>
      </c>
      <c r="AD166" s="2"/>
    </row>
    <row r="167" spans="1:30" x14ac:dyDescent="0.25">
      <c r="A167">
        <v>166</v>
      </c>
      <c r="B167" t="s">
        <v>25</v>
      </c>
      <c r="C167" s="3">
        <v>33866</v>
      </c>
      <c r="D167" s="2">
        <f ca="1">DATEDIF(gym_membership[[#This Row],[birthday]],TODAY(),"y")</f>
        <v>33</v>
      </c>
      <c r="E167">
        <v>32</v>
      </c>
      <c r="F167" t="s">
        <v>18</v>
      </c>
      <c r="G167">
        <v>3</v>
      </c>
      <c r="H167" t="s">
        <v>30</v>
      </c>
      <c r="I167" t="s">
        <v>26</v>
      </c>
      <c r="J167" t="s">
        <v>57</v>
      </c>
      <c r="K167" t="s">
        <v>77</v>
      </c>
      <c r="N167" t="b">
        <v>0</v>
      </c>
      <c r="O167" t="s">
        <v>21</v>
      </c>
      <c r="S167" s="1">
        <v>0.8569444444444444</v>
      </c>
      <c r="T167" s="1">
        <v>0.90277777777777779</v>
      </c>
      <c r="U167">
        <v>66</v>
      </c>
      <c r="V167" t="b">
        <v>0</v>
      </c>
      <c r="W167" t="s">
        <v>21</v>
      </c>
      <c r="Z167" t="b">
        <v>1</v>
      </c>
      <c r="AA167" t="s">
        <v>24</v>
      </c>
      <c r="AB167" t="b">
        <v>1</v>
      </c>
      <c r="AD167" s="2"/>
    </row>
    <row r="168" spans="1:30" x14ac:dyDescent="0.25">
      <c r="A168">
        <v>167</v>
      </c>
      <c r="B168" t="s">
        <v>17</v>
      </c>
      <c r="C168" s="3">
        <v>29874</v>
      </c>
      <c r="D168" s="2">
        <f ca="1">DATEDIF(gym_membership[[#This Row],[birthday]],TODAY(),"y")</f>
        <v>44</v>
      </c>
      <c r="E168">
        <v>42</v>
      </c>
      <c r="F168" t="s">
        <v>18</v>
      </c>
      <c r="G168">
        <v>4</v>
      </c>
      <c r="H168" t="s">
        <v>188</v>
      </c>
      <c r="I168" t="s">
        <v>44</v>
      </c>
      <c r="J168" t="s">
        <v>34</v>
      </c>
      <c r="K168" t="s">
        <v>95</v>
      </c>
      <c r="L168" t="s">
        <v>57</v>
      </c>
      <c r="N168" t="b">
        <v>1</v>
      </c>
      <c r="O168" t="s">
        <v>128</v>
      </c>
      <c r="P168" t="s">
        <v>128</v>
      </c>
      <c r="S168" s="1">
        <v>0.41319444444444442</v>
      </c>
      <c r="T168" s="1">
        <v>0.45763888888888887</v>
      </c>
      <c r="U168">
        <v>64</v>
      </c>
      <c r="V168" t="b">
        <v>0</v>
      </c>
      <c r="W168" t="s">
        <v>21</v>
      </c>
      <c r="Z168" t="b">
        <v>0</v>
      </c>
      <c r="AA168" t="s">
        <v>456</v>
      </c>
      <c r="AB168" t="b">
        <v>1</v>
      </c>
      <c r="AD168" s="2"/>
    </row>
    <row r="169" spans="1:30" x14ac:dyDescent="0.25">
      <c r="A169">
        <v>168</v>
      </c>
      <c r="B169" t="s">
        <v>25</v>
      </c>
      <c r="C169" s="3">
        <v>40456</v>
      </c>
      <c r="D169" s="2">
        <f ca="1">DATEDIF(gym_membership[[#This Row],[birthday]],TODAY(),"y")</f>
        <v>15</v>
      </c>
      <c r="E169">
        <v>14</v>
      </c>
      <c r="F169" t="s">
        <v>22</v>
      </c>
      <c r="G169">
        <v>3</v>
      </c>
      <c r="H169" t="s">
        <v>109</v>
      </c>
      <c r="I169" t="s">
        <v>34</v>
      </c>
      <c r="J169" t="s">
        <v>94</v>
      </c>
      <c r="K169" t="s">
        <v>95</v>
      </c>
      <c r="N169" t="b">
        <v>1</v>
      </c>
      <c r="O169" t="s">
        <v>189</v>
      </c>
      <c r="P169" t="s">
        <v>128</v>
      </c>
      <c r="Q169" t="s">
        <v>96</v>
      </c>
      <c r="R169" t="s">
        <v>120</v>
      </c>
      <c r="S169" s="1">
        <v>0.51875000000000004</v>
      </c>
      <c r="T169" s="1">
        <v>0.59444444444444444</v>
      </c>
      <c r="U169">
        <v>109</v>
      </c>
      <c r="V169" t="b">
        <v>0</v>
      </c>
      <c r="W169" t="s">
        <v>21</v>
      </c>
      <c r="Z169" t="b">
        <v>0</v>
      </c>
      <c r="AA169" t="s">
        <v>456</v>
      </c>
      <c r="AB169" t="b">
        <v>1</v>
      </c>
      <c r="AD169" s="2"/>
    </row>
    <row r="170" spans="1:30" x14ac:dyDescent="0.25">
      <c r="A170">
        <v>169</v>
      </c>
      <c r="B170" t="s">
        <v>17</v>
      </c>
      <c r="C170" s="3">
        <v>32475</v>
      </c>
      <c r="D170" s="2">
        <f ca="1">DATEDIF(gym_membership[[#This Row],[birthday]],TODAY(),"y")</f>
        <v>37</v>
      </c>
      <c r="E170">
        <v>35</v>
      </c>
      <c r="F170" t="s">
        <v>18</v>
      </c>
      <c r="G170">
        <v>3</v>
      </c>
      <c r="H170" t="s">
        <v>104</v>
      </c>
      <c r="I170" t="s">
        <v>44</v>
      </c>
      <c r="J170" t="s">
        <v>95</v>
      </c>
      <c r="K170" t="s">
        <v>57</v>
      </c>
      <c r="N170" t="b">
        <v>1</v>
      </c>
      <c r="O170" t="s">
        <v>190</v>
      </c>
      <c r="P170" t="s">
        <v>120</v>
      </c>
      <c r="Q170" t="s">
        <v>100</v>
      </c>
      <c r="R170" t="s">
        <v>41</v>
      </c>
      <c r="S170" s="1">
        <v>0.56388888888888888</v>
      </c>
      <c r="T170" s="1">
        <v>0.67986111111111114</v>
      </c>
      <c r="U170">
        <v>167</v>
      </c>
      <c r="V170" t="b">
        <v>0</v>
      </c>
      <c r="W170" t="s">
        <v>21</v>
      </c>
      <c r="Z170" t="b">
        <v>0</v>
      </c>
      <c r="AA170" t="s">
        <v>456</v>
      </c>
      <c r="AB170" t="b">
        <v>0</v>
      </c>
      <c r="AD170" s="2"/>
    </row>
    <row r="171" spans="1:30" x14ac:dyDescent="0.25">
      <c r="A171">
        <v>170</v>
      </c>
      <c r="B171" t="s">
        <v>25</v>
      </c>
      <c r="C171" s="3">
        <v>29796</v>
      </c>
      <c r="D171" s="2">
        <f ca="1">DATEDIF(gym_membership[[#This Row],[birthday]],TODAY(),"y")</f>
        <v>45</v>
      </c>
      <c r="E171">
        <v>43</v>
      </c>
      <c r="F171" t="s">
        <v>22</v>
      </c>
      <c r="G171">
        <v>3</v>
      </c>
      <c r="H171" t="s">
        <v>116</v>
      </c>
      <c r="I171" t="s">
        <v>44</v>
      </c>
      <c r="J171" t="s">
        <v>94</v>
      </c>
      <c r="K171" t="s">
        <v>57</v>
      </c>
      <c r="N171" t="b">
        <v>0</v>
      </c>
      <c r="O171" t="s">
        <v>21</v>
      </c>
      <c r="S171" s="1">
        <v>0.5083333333333333</v>
      </c>
      <c r="T171" s="1">
        <v>0.54722222222222228</v>
      </c>
      <c r="U171">
        <v>56</v>
      </c>
      <c r="V171" t="b">
        <v>1</v>
      </c>
      <c r="W171" t="s">
        <v>191</v>
      </c>
      <c r="X171" t="s">
        <v>31</v>
      </c>
      <c r="Y171" t="s">
        <v>65</v>
      </c>
      <c r="Z171" t="b">
        <v>1</v>
      </c>
      <c r="AA171" t="s">
        <v>29</v>
      </c>
      <c r="AB171" t="b">
        <v>0</v>
      </c>
      <c r="AD171" s="2"/>
    </row>
    <row r="172" spans="1:30" x14ac:dyDescent="0.25">
      <c r="A172">
        <v>171</v>
      </c>
      <c r="B172" t="s">
        <v>17</v>
      </c>
      <c r="C172" s="3">
        <v>32011</v>
      </c>
      <c r="D172" s="2">
        <f ca="1">DATEDIF(gym_membership[[#This Row],[birthday]],TODAY(),"y")</f>
        <v>39</v>
      </c>
      <c r="E172">
        <v>37</v>
      </c>
      <c r="F172" t="s">
        <v>22</v>
      </c>
      <c r="G172">
        <v>1</v>
      </c>
      <c r="H172" t="s">
        <v>94</v>
      </c>
      <c r="I172" t="s">
        <v>94</v>
      </c>
      <c r="N172" t="b">
        <v>0</v>
      </c>
      <c r="O172" t="s">
        <v>21</v>
      </c>
      <c r="S172" s="1">
        <v>0.69374999999999998</v>
      </c>
      <c r="T172" s="1">
        <v>0.79513888888888884</v>
      </c>
      <c r="U172">
        <v>146</v>
      </c>
      <c r="V172" t="b">
        <v>1</v>
      </c>
      <c r="W172" t="s">
        <v>65</v>
      </c>
      <c r="X172" t="s">
        <v>65</v>
      </c>
      <c r="Z172" t="b">
        <v>1</v>
      </c>
      <c r="AA172" t="s">
        <v>45</v>
      </c>
      <c r="AB172" t="b">
        <v>0</v>
      </c>
      <c r="AD172" s="2"/>
    </row>
    <row r="173" spans="1:30" x14ac:dyDescent="0.25">
      <c r="A173">
        <v>172</v>
      </c>
      <c r="B173" t="s">
        <v>17</v>
      </c>
      <c r="C173" s="3">
        <v>27580</v>
      </c>
      <c r="D173" s="2">
        <f ca="1">DATEDIF(gym_membership[[#This Row],[birthday]],TODAY(),"y")</f>
        <v>51</v>
      </c>
      <c r="E173">
        <v>49</v>
      </c>
      <c r="F173" t="s">
        <v>22</v>
      </c>
      <c r="G173">
        <v>5</v>
      </c>
      <c r="H173" t="s">
        <v>159</v>
      </c>
      <c r="I173" t="s">
        <v>26</v>
      </c>
      <c r="J173" t="s">
        <v>94</v>
      </c>
      <c r="K173" t="s">
        <v>95</v>
      </c>
      <c r="L173" t="s">
        <v>57</v>
      </c>
      <c r="M173" t="s">
        <v>77</v>
      </c>
      <c r="N173" t="b">
        <v>1</v>
      </c>
      <c r="O173" t="s">
        <v>58</v>
      </c>
      <c r="P173" t="s">
        <v>58</v>
      </c>
      <c r="S173" s="1">
        <v>0.34375</v>
      </c>
      <c r="T173" s="1">
        <v>0.36805555555555558</v>
      </c>
      <c r="U173">
        <v>35</v>
      </c>
      <c r="V173" t="b">
        <v>0</v>
      </c>
      <c r="W173" t="s">
        <v>21</v>
      </c>
      <c r="Z173" t="b">
        <v>0</v>
      </c>
      <c r="AA173" t="s">
        <v>456</v>
      </c>
      <c r="AB173" t="b">
        <v>0</v>
      </c>
      <c r="AD173" s="2"/>
    </row>
    <row r="174" spans="1:30" x14ac:dyDescent="0.25">
      <c r="A174">
        <v>173</v>
      </c>
      <c r="B174" t="s">
        <v>25</v>
      </c>
      <c r="C174" s="3">
        <v>28333</v>
      </c>
      <c r="D174" s="2">
        <f ca="1">DATEDIF(gym_membership[[#This Row],[birthday]],TODAY(),"y")</f>
        <v>49</v>
      </c>
      <c r="E174">
        <v>47</v>
      </c>
      <c r="F174" t="s">
        <v>22</v>
      </c>
      <c r="G174">
        <v>2</v>
      </c>
      <c r="H174" t="s">
        <v>111</v>
      </c>
      <c r="I174" t="s">
        <v>94</v>
      </c>
      <c r="J174" t="s">
        <v>95</v>
      </c>
      <c r="N174" t="b">
        <v>0</v>
      </c>
      <c r="O174" t="s">
        <v>21</v>
      </c>
      <c r="S174" s="1">
        <v>0.70486111111111116</v>
      </c>
      <c r="T174" s="1">
        <v>0.80069444444444449</v>
      </c>
      <c r="U174">
        <v>138</v>
      </c>
      <c r="V174" t="b">
        <v>1</v>
      </c>
      <c r="W174" t="s">
        <v>51</v>
      </c>
      <c r="X174" t="s">
        <v>51</v>
      </c>
      <c r="Z174" t="b">
        <v>0</v>
      </c>
      <c r="AA174" t="s">
        <v>456</v>
      </c>
      <c r="AB174" t="b">
        <v>1</v>
      </c>
      <c r="AD174" s="2"/>
    </row>
    <row r="175" spans="1:30" x14ac:dyDescent="0.25">
      <c r="A175">
        <v>174</v>
      </c>
      <c r="B175" t="s">
        <v>25</v>
      </c>
      <c r="C175" s="3">
        <v>27470</v>
      </c>
      <c r="D175" s="2">
        <f ca="1">DATEDIF(gym_membership[[#This Row],[birthday]],TODAY(),"y")</f>
        <v>51</v>
      </c>
      <c r="E175">
        <v>49</v>
      </c>
      <c r="F175" t="s">
        <v>18</v>
      </c>
      <c r="G175">
        <v>1</v>
      </c>
      <c r="H175" t="s">
        <v>26</v>
      </c>
      <c r="I175" t="s">
        <v>26</v>
      </c>
      <c r="N175" t="b">
        <v>0</v>
      </c>
      <c r="O175" t="s">
        <v>21</v>
      </c>
      <c r="S175" s="1">
        <v>0.47291666666666665</v>
      </c>
      <c r="T175" s="1">
        <v>0.53194444444444444</v>
      </c>
      <c r="U175">
        <v>85</v>
      </c>
      <c r="V175" t="b">
        <v>0</v>
      </c>
      <c r="W175" t="s">
        <v>21</v>
      </c>
      <c r="Z175" t="b">
        <v>0</v>
      </c>
      <c r="AA175" t="s">
        <v>456</v>
      </c>
      <c r="AB175" t="b">
        <v>1</v>
      </c>
      <c r="AD175" s="2"/>
    </row>
    <row r="176" spans="1:30" x14ac:dyDescent="0.25">
      <c r="A176">
        <v>175</v>
      </c>
      <c r="B176" t="s">
        <v>25</v>
      </c>
      <c r="C176" s="3">
        <v>38617</v>
      </c>
      <c r="D176" s="2">
        <f ca="1">DATEDIF(gym_membership[[#This Row],[birthday]],TODAY(),"y")</f>
        <v>20</v>
      </c>
      <c r="E176">
        <v>19</v>
      </c>
      <c r="F176" t="s">
        <v>22</v>
      </c>
      <c r="G176">
        <v>2</v>
      </c>
      <c r="H176" t="s">
        <v>66</v>
      </c>
      <c r="I176" t="s">
        <v>34</v>
      </c>
      <c r="J176" t="s">
        <v>57</v>
      </c>
      <c r="N176" t="b">
        <v>1</v>
      </c>
      <c r="O176" t="s">
        <v>103</v>
      </c>
      <c r="P176" t="s">
        <v>103</v>
      </c>
      <c r="S176" s="1">
        <v>0.58402777777777781</v>
      </c>
      <c r="T176" s="1">
        <v>0.66388888888888886</v>
      </c>
      <c r="U176">
        <v>115</v>
      </c>
      <c r="V176" t="b">
        <v>0</v>
      </c>
      <c r="W176" t="s">
        <v>21</v>
      </c>
      <c r="Z176" t="b">
        <v>0</v>
      </c>
      <c r="AA176" t="s">
        <v>456</v>
      </c>
      <c r="AB176" t="b">
        <v>0</v>
      </c>
      <c r="AD176" s="2"/>
    </row>
    <row r="177" spans="1:30" x14ac:dyDescent="0.25">
      <c r="A177">
        <v>176</v>
      </c>
      <c r="B177" t="s">
        <v>25</v>
      </c>
      <c r="C177" s="3">
        <v>27814</v>
      </c>
      <c r="D177" s="2">
        <f ca="1">DATEDIF(gym_membership[[#This Row],[birthday]],TODAY(),"y")</f>
        <v>50</v>
      </c>
      <c r="E177">
        <v>48</v>
      </c>
      <c r="F177" t="s">
        <v>22</v>
      </c>
      <c r="G177">
        <v>4</v>
      </c>
      <c r="H177" t="s">
        <v>127</v>
      </c>
      <c r="I177" t="s">
        <v>44</v>
      </c>
      <c r="J177" t="s">
        <v>95</v>
      </c>
      <c r="K177" t="s">
        <v>57</v>
      </c>
      <c r="L177" t="s">
        <v>77</v>
      </c>
      <c r="N177" t="b">
        <v>0</v>
      </c>
      <c r="O177" t="s">
        <v>21</v>
      </c>
      <c r="S177" s="1">
        <v>0.39861111111111114</v>
      </c>
      <c r="T177" s="1">
        <v>0.42430555555555555</v>
      </c>
      <c r="U177">
        <v>37</v>
      </c>
      <c r="V177" t="b">
        <v>0</v>
      </c>
      <c r="W177" t="s">
        <v>21</v>
      </c>
      <c r="Z177" t="b">
        <v>0</v>
      </c>
      <c r="AA177" t="s">
        <v>456</v>
      </c>
      <c r="AB177" t="b">
        <v>0</v>
      </c>
      <c r="AD177" s="2"/>
    </row>
    <row r="178" spans="1:30" x14ac:dyDescent="0.25">
      <c r="A178">
        <v>177</v>
      </c>
      <c r="B178" t="s">
        <v>17</v>
      </c>
      <c r="C178" s="3">
        <v>36920</v>
      </c>
      <c r="D178" s="2">
        <f ca="1">DATEDIF(gym_membership[[#This Row],[birthday]],TODAY(),"y")</f>
        <v>25</v>
      </c>
      <c r="E178">
        <v>23</v>
      </c>
      <c r="F178" t="s">
        <v>18</v>
      </c>
      <c r="G178">
        <v>3</v>
      </c>
      <c r="H178" t="s">
        <v>109</v>
      </c>
      <c r="I178" t="s">
        <v>34</v>
      </c>
      <c r="J178" t="s">
        <v>94</v>
      </c>
      <c r="K178" t="s">
        <v>95</v>
      </c>
      <c r="N178" t="b">
        <v>0</v>
      </c>
      <c r="O178" t="s">
        <v>21</v>
      </c>
      <c r="S178" s="1">
        <v>0.41388888888888886</v>
      </c>
      <c r="T178" s="1">
        <v>0.47222222222222221</v>
      </c>
      <c r="U178">
        <v>84</v>
      </c>
      <c r="V178" t="b">
        <v>1</v>
      </c>
      <c r="W178" t="s">
        <v>130</v>
      </c>
      <c r="X178" t="s">
        <v>76</v>
      </c>
      <c r="Y178" t="s">
        <v>39</v>
      </c>
      <c r="Z178" t="b">
        <v>1</v>
      </c>
      <c r="AA178" t="s">
        <v>24</v>
      </c>
      <c r="AB178" t="b">
        <v>0</v>
      </c>
      <c r="AD178" s="2"/>
    </row>
    <row r="179" spans="1:30" x14ac:dyDescent="0.25">
      <c r="A179">
        <v>178</v>
      </c>
      <c r="B179" t="s">
        <v>25</v>
      </c>
      <c r="C179" s="3">
        <v>36848</v>
      </c>
      <c r="D179" s="2">
        <f ca="1">DATEDIF(gym_membership[[#This Row],[birthday]],TODAY(),"y")</f>
        <v>25</v>
      </c>
      <c r="E179">
        <v>23</v>
      </c>
      <c r="F179" t="s">
        <v>18</v>
      </c>
      <c r="G179">
        <v>4</v>
      </c>
      <c r="H179" t="s">
        <v>192</v>
      </c>
      <c r="I179" t="s">
        <v>44</v>
      </c>
      <c r="J179" t="s">
        <v>34</v>
      </c>
      <c r="K179" t="s">
        <v>95</v>
      </c>
      <c r="L179" t="s">
        <v>77</v>
      </c>
      <c r="N179" t="b">
        <v>0</v>
      </c>
      <c r="O179" t="s">
        <v>21</v>
      </c>
      <c r="S179" s="1">
        <v>0.4597222222222222</v>
      </c>
      <c r="T179" s="1">
        <v>0.48888888888888887</v>
      </c>
      <c r="U179">
        <v>42</v>
      </c>
      <c r="V179" t="b">
        <v>0</v>
      </c>
      <c r="W179" t="s">
        <v>21</v>
      </c>
      <c r="Z179" t="b">
        <v>1</v>
      </c>
      <c r="AA179" t="s">
        <v>24</v>
      </c>
      <c r="AB179" t="b">
        <v>0</v>
      </c>
      <c r="AD179" s="2"/>
    </row>
    <row r="180" spans="1:30" x14ac:dyDescent="0.25">
      <c r="A180">
        <v>179</v>
      </c>
      <c r="B180" t="s">
        <v>17</v>
      </c>
      <c r="C180" s="3">
        <v>40507</v>
      </c>
      <c r="D180" s="2">
        <f ca="1">DATEDIF(gym_membership[[#This Row],[birthday]],TODAY(),"y")</f>
        <v>15</v>
      </c>
      <c r="E180">
        <v>13</v>
      </c>
      <c r="F180" t="s">
        <v>22</v>
      </c>
      <c r="G180">
        <v>2</v>
      </c>
      <c r="H180" t="s">
        <v>66</v>
      </c>
      <c r="I180" t="s">
        <v>34</v>
      </c>
      <c r="J180" t="s">
        <v>57</v>
      </c>
      <c r="N180" t="b">
        <v>0</v>
      </c>
      <c r="O180" t="s">
        <v>21</v>
      </c>
      <c r="S180" s="1">
        <v>0.7270833333333333</v>
      </c>
      <c r="T180" s="1">
        <v>0.8</v>
      </c>
      <c r="U180">
        <v>105</v>
      </c>
      <c r="V180" t="b">
        <v>0</v>
      </c>
      <c r="W180" t="s">
        <v>21</v>
      </c>
      <c r="Z180" t="b">
        <v>0</v>
      </c>
      <c r="AA180" t="s">
        <v>456</v>
      </c>
      <c r="AB180" t="b">
        <v>0</v>
      </c>
      <c r="AD180" s="2"/>
    </row>
    <row r="181" spans="1:30" x14ac:dyDescent="0.25">
      <c r="A181">
        <v>180</v>
      </c>
      <c r="B181" t="s">
        <v>25</v>
      </c>
      <c r="C181" s="3">
        <v>27931</v>
      </c>
      <c r="D181" s="2">
        <f ca="1">DATEDIF(gym_membership[[#This Row],[birthday]],TODAY(),"y")</f>
        <v>50</v>
      </c>
      <c r="E181">
        <v>48</v>
      </c>
      <c r="F181" t="s">
        <v>18</v>
      </c>
      <c r="G181">
        <v>3</v>
      </c>
      <c r="H181" t="s">
        <v>193</v>
      </c>
      <c r="I181" t="s">
        <v>44</v>
      </c>
      <c r="J181" t="s">
        <v>26</v>
      </c>
      <c r="K181" t="s">
        <v>95</v>
      </c>
      <c r="N181" t="b">
        <v>1</v>
      </c>
      <c r="O181" t="s">
        <v>194</v>
      </c>
      <c r="P181" t="s">
        <v>120</v>
      </c>
      <c r="Q181" t="s">
        <v>128</v>
      </c>
      <c r="R181" t="s">
        <v>91</v>
      </c>
      <c r="S181" s="1">
        <v>0.35625000000000001</v>
      </c>
      <c r="T181" s="1">
        <v>0.42569444444444443</v>
      </c>
      <c r="U181">
        <v>100</v>
      </c>
      <c r="V181" t="b">
        <v>1</v>
      </c>
      <c r="W181" t="s">
        <v>31</v>
      </c>
      <c r="X181" t="s">
        <v>31</v>
      </c>
      <c r="Z181" t="b">
        <v>1</v>
      </c>
      <c r="AA181" t="s">
        <v>43</v>
      </c>
      <c r="AB181" t="b">
        <v>1</v>
      </c>
      <c r="AD181" s="2"/>
    </row>
    <row r="182" spans="1:30" x14ac:dyDescent="0.25">
      <c r="A182">
        <v>181</v>
      </c>
      <c r="B182" t="s">
        <v>25</v>
      </c>
      <c r="C182" s="3">
        <v>35419</v>
      </c>
      <c r="D182" s="2">
        <f ca="1">DATEDIF(gym_membership[[#This Row],[birthday]],TODAY(),"y")</f>
        <v>29</v>
      </c>
      <c r="E182">
        <v>27</v>
      </c>
      <c r="F182" t="s">
        <v>18</v>
      </c>
      <c r="G182">
        <v>5</v>
      </c>
      <c r="H182" t="s">
        <v>195</v>
      </c>
      <c r="I182" t="s">
        <v>34</v>
      </c>
      <c r="J182" t="s">
        <v>26</v>
      </c>
      <c r="K182" t="s">
        <v>94</v>
      </c>
      <c r="L182" t="s">
        <v>95</v>
      </c>
      <c r="M182" t="s">
        <v>57</v>
      </c>
      <c r="N182" t="b">
        <v>1</v>
      </c>
      <c r="O182" t="s">
        <v>196</v>
      </c>
      <c r="P182" t="s">
        <v>120</v>
      </c>
      <c r="Q182" t="s">
        <v>27</v>
      </c>
      <c r="S182" s="1">
        <v>0.4513888888888889</v>
      </c>
      <c r="T182" s="1">
        <v>0.56805555555555554</v>
      </c>
      <c r="U182">
        <v>168</v>
      </c>
      <c r="V182" t="b">
        <v>1</v>
      </c>
      <c r="W182" t="s">
        <v>163</v>
      </c>
      <c r="X182" t="s">
        <v>65</v>
      </c>
      <c r="Y182" t="s">
        <v>51</v>
      </c>
      <c r="Z182" t="b">
        <v>0</v>
      </c>
      <c r="AA182" t="s">
        <v>456</v>
      </c>
      <c r="AB182" t="b">
        <v>1</v>
      </c>
      <c r="AD182" s="2"/>
    </row>
    <row r="183" spans="1:30" x14ac:dyDescent="0.25">
      <c r="A183">
        <v>182</v>
      </c>
      <c r="B183" t="s">
        <v>17</v>
      </c>
      <c r="C183" s="3">
        <v>40225</v>
      </c>
      <c r="D183" s="2">
        <f ca="1">DATEDIF(gym_membership[[#This Row],[birthday]],TODAY(),"y")</f>
        <v>16</v>
      </c>
      <c r="E183">
        <v>14</v>
      </c>
      <c r="F183" t="s">
        <v>22</v>
      </c>
      <c r="G183">
        <v>3</v>
      </c>
      <c r="H183" t="s">
        <v>122</v>
      </c>
      <c r="I183" t="s">
        <v>34</v>
      </c>
      <c r="J183" t="s">
        <v>94</v>
      </c>
      <c r="K183" t="s">
        <v>77</v>
      </c>
      <c r="N183" t="b">
        <v>1</v>
      </c>
      <c r="O183" t="s">
        <v>27</v>
      </c>
      <c r="P183" t="s">
        <v>27</v>
      </c>
      <c r="S183" s="1">
        <v>0.37569444444444444</v>
      </c>
      <c r="T183" s="1">
        <v>0.49791666666666667</v>
      </c>
      <c r="U183">
        <v>176</v>
      </c>
      <c r="V183" t="b">
        <v>0</v>
      </c>
      <c r="W183" t="s">
        <v>21</v>
      </c>
      <c r="Z183" t="b">
        <v>1</v>
      </c>
      <c r="AA183" t="s">
        <v>24</v>
      </c>
      <c r="AB183" t="b">
        <v>1</v>
      </c>
      <c r="AD183" s="2"/>
    </row>
    <row r="184" spans="1:30" x14ac:dyDescent="0.25">
      <c r="A184">
        <v>183</v>
      </c>
      <c r="B184" t="s">
        <v>25</v>
      </c>
      <c r="C184" s="3">
        <v>40373</v>
      </c>
      <c r="D184" s="2">
        <f ca="1">DATEDIF(gym_membership[[#This Row],[birthday]],TODAY(),"y")</f>
        <v>16</v>
      </c>
      <c r="E184">
        <v>14</v>
      </c>
      <c r="F184" t="s">
        <v>18</v>
      </c>
      <c r="G184">
        <v>1</v>
      </c>
      <c r="H184" t="s">
        <v>44</v>
      </c>
      <c r="I184" t="s">
        <v>44</v>
      </c>
      <c r="N184" t="b">
        <v>0</v>
      </c>
      <c r="O184" t="s">
        <v>21</v>
      </c>
      <c r="S184" s="1">
        <v>0.54583333333333328</v>
      </c>
      <c r="T184" s="1">
        <v>0.60347222222222219</v>
      </c>
      <c r="U184">
        <v>83</v>
      </c>
      <c r="V184" t="b">
        <v>0</v>
      </c>
      <c r="W184" t="s">
        <v>21</v>
      </c>
      <c r="Z184" t="b">
        <v>0</v>
      </c>
      <c r="AA184" t="s">
        <v>456</v>
      </c>
      <c r="AB184" t="b">
        <v>1</v>
      </c>
      <c r="AD184" s="2"/>
    </row>
    <row r="185" spans="1:30" x14ac:dyDescent="0.25">
      <c r="A185">
        <v>184</v>
      </c>
      <c r="B185" t="s">
        <v>25</v>
      </c>
      <c r="C185" s="3">
        <v>39006</v>
      </c>
      <c r="D185" s="2">
        <f ca="1">DATEDIF(gym_membership[[#This Row],[birthday]],TODAY(),"y")</f>
        <v>19</v>
      </c>
      <c r="E185">
        <v>17</v>
      </c>
      <c r="F185" t="s">
        <v>22</v>
      </c>
      <c r="G185">
        <v>1</v>
      </c>
      <c r="H185" t="s">
        <v>34</v>
      </c>
      <c r="I185" t="s">
        <v>34</v>
      </c>
      <c r="N185" t="b">
        <v>0</v>
      </c>
      <c r="O185" t="s">
        <v>21</v>
      </c>
      <c r="S185" s="1">
        <v>0.74861111111111112</v>
      </c>
      <c r="T185" s="1">
        <v>0.83611111111111114</v>
      </c>
      <c r="U185">
        <v>126</v>
      </c>
      <c r="V185" t="b">
        <v>0</v>
      </c>
      <c r="W185" t="s">
        <v>21</v>
      </c>
      <c r="Z185" t="b">
        <v>1</v>
      </c>
      <c r="AA185" t="s">
        <v>45</v>
      </c>
      <c r="AB185" t="b">
        <v>0</v>
      </c>
      <c r="AD185" s="2"/>
    </row>
    <row r="186" spans="1:30" x14ac:dyDescent="0.25">
      <c r="A186">
        <v>185</v>
      </c>
      <c r="B186" t="s">
        <v>25</v>
      </c>
      <c r="C186" s="3">
        <v>31308</v>
      </c>
      <c r="D186" s="2">
        <f ca="1">DATEDIF(gym_membership[[#This Row],[birthday]],TODAY(),"y")</f>
        <v>40</v>
      </c>
      <c r="E186">
        <v>39</v>
      </c>
      <c r="F186" t="s">
        <v>22</v>
      </c>
      <c r="G186">
        <v>2</v>
      </c>
      <c r="H186" t="s">
        <v>66</v>
      </c>
      <c r="I186" t="s">
        <v>34</v>
      </c>
      <c r="J186" t="s">
        <v>57</v>
      </c>
      <c r="N186" t="b">
        <v>1</v>
      </c>
      <c r="O186" t="s">
        <v>197</v>
      </c>
      <c r="P186" t="s">
        <v>128</v>
      </c>
      <c r="Q186" t="s">
        <v>27</v>
      </c>
      <c r="S186" s="1">
        <v>0.3888888888888889</v>
      </c>
      <c r="T186" s="1">
        <v>0.41111111111111109</v>
      </c>
      <c r="U186">
        <v>32</v>
      </c>
      <c r="V186" t="b">
        <v>1</v>
      </c>
      <c r="W186" t="s">
        <v>76</v>
      </c>
      <c r="X186" t="s">
        <v>76</v>
      </c>
      <c r="Z186" t="b">
        <v>0</v>
      </c>
      <c r="AA186" t="s">
        <v>456</v>
      </c>
      <c r="AB186" t="b">
        <v>0</v>
      </c>
      <c r="AD186" s="2"/>
    </row>
    <row r="187" spans="1:30" x14ac:dyDescent="0.25">
      <c r="A187">
        <v>186</v>
      </c>
      <c r="B187" t="s">
        <v>17</v>
      </c>
      <c r="C187" s="3">
        <v>27477</v>
      </c>
      <c r="D187" s="2">
        <f ca="1">DATEDIF(gym_membership[[#This Row],[birthday]],TODAY(),"y")</f>
        <v>51</v>
      </c>
      <c r="E187">
        <v>49</v>
      </c>
      <c r="F187" t="s">
        <v>22</v>
      </c>
      <c r="G187">
        <v>3</v>
      </c>
      <c r="H187" t="s">
        <v>71</v>
      </c>
      <c r="I187" t="s">
        <v>44</v>
      </c>
      <c r="J187" t="s">
        <v>94</v>
      </c>
      <c r="K187" t="s">
        <v>77</v>
      </c>
      <c r="N187" t="b">
        <v>0</v>
      </c>
      <c r="O187" t="s">
        <v>21</v>
      </c>
      <c r="S187" s="1">
        <v>0.73750000000000004</v>
      </c>
      <c r="T187" s="1">
        <v>0.79166666666666663</v>
      </c>
      <c r="U187">
        <v>78</v>
      </c>
      <c r="V187" t="b">
        <v>1</v>
      </c>
      <c r="W187" t="s">
        <v>31</v>
      </c>
      <c r="X187" t="s">
        <v>31</v>
      </c>
      <c r="Z187" t="b">
        <v>1</v>
      </c>
      <c r="AA187" t="s">
        <v>29</v>
      </c>
      <c r="AB187" t="b">
        <v>1</v>
      </c>
      <c r="AD187" s="2"/>
    </row>
    <row r="188" spans="1:30" x14ac:dyDescent="0.25">
      <c r="A188">
        <v>187</v>
      </c>
      <c r="B188" t="s">
        <v>25</v>
      </c>
      <c r="C188" s="3">
        <v>41016</v>
      </c>
      <c r="D188" s="2">
        <f ca="1">DATEDIF(gym_membership[[#This Row],[birthday]],TODAY(),"y")</f>
        <v>14</v>
      </c>
      <c r="E188">
        <v>12</v>
      </c>
      <c r="F188" t="s">
        <v>22</v>
      </c>
      <c r="G188">
        <v>5</v>
      </c>
      <c r="H188" t="s">
        <v>151</v>
      </c>
      <c r="I188" t="s">
        <v>44</v>
      </c>
      <c r="J188" t="s">
        <v>26</v>
      </c>
      <c r="K188" t="s">
        <v>94</v>
      </c>
      <c r="L188" t="s">
        <v>95</v>
      </c>
      <c r="M188" t="s">
        <v>77</v>
      </c>
      <c r="N188" t="b">
        <v>1</v>
      </c>
      <c r="O188" t="s">
        <v>198</v>
      </c>
      <c r="P188" t="s">
        <v>58</v>
      </c>
      <c r="Q188" t="s">
        <v>120</v>
      </c>
      <c r="R188" t="s">
        <v>41</v>
      </c>
      <c r="S188" s="1">
        <v>0.8256944444444444</v>
      </c>
      <c r="T188" s="1">
        <v>0.92708333333333337</v>
      </c>
      <c r="U188">
        <v>146</v>
      </c>
      <c r="V188" t="b">
        <v>1</v>
      </c>
      <c r="W188" t="s">
        <v>172</v>
      </c>
      <c r="X188" t="s">
        <v>65</v>
      </c>
      <c r="Y188" t="s">
        <v>59</v>
      </c>
      <c r="Z188" t="b">
        <v>1</v>
      </c>
      <c r="AA188" t="s">
        <v>29</v>
      </c>
      <c r="AB188" t="b">
        <v>0</v>
      </c>
      <c r="AD188" s="2"/>
    </row>
    <row r="189" spans="1:30" x14ac:dyDescent="0.25">
      <c r="A189">
        <v>188</v>
      </c>
      <c r="B189" t="s">
        <v>17</v>
      </c>
      <c r="C189" s="3">
        <v>31836</v>
      </c>
      <c r="D189" s="2">
        <f ca="1">DATEDIF(gym_membership[[#This Row],[birthday]],TODAY(),"y")</f>
        <v>39</v>
      </c>
      <c r="E189">
        <v>37</v>
      </c>
      <c r="F189" t="s">
        <v>18</v>
      </c>
      <c r="G189">
        <v>1</v>
      </c>
      <c r="H189" t="s">
        <v>26</v>
      </c>
      <c r="I189" t="s">
        <v>26</v>
      </c>
      <c r="N189" t="b">
        <v>1</v>
      </c>
      <c r="O189" t="s">
        <v>103</v>
      </c>
      <c r="P189" t="s">
        <v>103</v>
      </c>
      <c r="S189" s="1">
        <v>0.34791666666666665</v>
      </c>
      <c r="T189" s="1">
        <v>0.37152777777777779</v>
      </c>
      <c r="U189">
        <v>34</v>
      </c>
      <c r="V189" t="b">
        <v>1</v>
      </c>
      <c r="W189" t="s">
        <v>69</v>
      </c>
      <c r="X189" t="s">
        <v>65</v>
      </c>
      <c r="Y189" t="s">
        <v>39</v>
      </c>
      <c r="Z189" t="b">
        <v>0</v>
      </c>
      <c r="AA189" t="s">
        <v>456</v>
      </c>
      <c r="AB189" t="b">
        <v>0</v>
      </c>
      <c r="AD189" s="2"/>
    </row>
    <row r="190" spans="1:30" x14ac:dyDescent="0.25">
      <c r="A190">
        <v>189</v>
      </c>
      <c r="B190" t="s">
        <v>25</v>
      </c>
      <c r="C190" s="3">
        <v>32093</v>
      </c>
      <c r="D190" s="2">
        <f ca="1">DATEDIF(gym_membership[[#This Row],[birthday]],TODAY(),"y")</f>
        <v>38</v>
      </c>
      <c r="E190">
        <v>36</v>
      </c>
      <c r="F190" t="s">
        <v>18</v>
      </c>
      <c r="G190">
        <v>2</v>
      </c>
      <c r="H190" t="s">
        <v>119</v>
      </c>
      <c r="I190" t="s">
        <v>44</v>
      </c>
      <c r="J190" t="s">
        <v>57</v>
      </c>
      <c r="N190" t="b">
        <v>1</v>
      </c>
      <c r="O190" t="s">
        <v>199</v>
      </c>
      <c r="P190" t="s">
        <v>100</v>
      </c>
      <c r="Q190" t="s">
        <v>27</v>
      </c>
      <c r="S190" s="1">
        <v>0.4777777777777778</v>
      </c>
      <c r="T190" s="1">
        <v>0.59305555555555556</v>
      </c>
      <c r="U190">
        <v>166</v>
      </c>
      <c r="V190" t="b">
        <v>0</v>
      </c>
      <c r="W190" t="s">
        <v>21</v>
      </c>
      <c r="Z190" t="b">
        <v>0</v>
      </c>
      <c r="AA190" t="s">
        <v>456</v>
      </c>
      <c r="AB190" t="b">
        <v>1</v>
      </c>
      <c r="AD190" s="2"/>
    </row>
    <row r="191" spans="1:30" x14ac:dyDescent="0.25">
      <c r="A191">
        <v>190</v>
      </c>
      <c r="B191" t="s">
        <v>25</v>
      </c>
      <c r="C191" s="3">
        <v>40794</v>
      </c>
      <c r="D191" s="2">
        <f ca="1">DATEDIF(gym_membership[[#This Row],[birthday]],TODAY(),"y")</f>
        <v>14</v>
      </c>
      <c r="E191">
        <v>13</v>
      </c>
      <c r="F191" t="s">
        <v>22</v>
      </c>
      <c r="G191">
        <v>4</v>
      </c>
      <c r="H191" t="s">
        <v>200</v>
      </c>
      <c r="I191" t="s">
        <v>26</v>
      </c>
      <c r="J191" t="s">
        <v>94</v>
      </c>
      <c r="K191" t="s">
        <v>95</v>
      </c>
      <c r="L191" t="s">
        <v>57</v>
      </c>
      <c r="N191" t="b">
        <v>0</v>
      </c>
      <c r="O191" t="s">
        <v>21</v>
      </c>
      <c r="S191" s="1">
        <v>0.61597222222222225</v>
      </c>
      <c r="T191" s="1">
        <v>0.63958333333333328</v>
      </c>
      <c r="U191">
        <v>34</v>
      </c>
      <c r="V191" t="b">
        <v>0</v>
      </c>
      <c r="W191" t="s">
        <v>21</v>
      </c>
      <c r="Z191" t="b">
        <v>0</v>
      </c>
      <c r="AA191" t="s">
        <v>456</v>
      </c>
      <c r="AB191" t="b">
        <v>0</v>
      </c>
      <c r="AD191" s="2"/>
    </row>
    <row r="192" spans="1:30" x14ac:dyDescent="0.25">
      <c r="A192">
        <v>191</v>
      </c>
      <c r="B192" t="s">
        <v>25</v>
      </c>
      <c r="C192" s="3">
        <v>33900</v>
      </c>
      <c r="D192" s="2">
        <f ca="1">DATEDIF(gym_membership[[#This Row],[birthday]],TODAY(),"y")</f>
        <v>33</v>
      </c>
      <c r="E192">
        <v>31</v>
      </c>
      <c r="F192" t="s">
        <v>18</v>
      </c>
      <c r="G192">
        <v>2</v>
      </c>
      <c r="H192" t="s">
        <v>37</v>
      </c>
      <c r="I192" t="s">
        <v>34</v>
      </c>
      <c r="J192" t="s">
        <v>77</v>
      </c>
      <c r="N192" t="b">
        <v>0</v>
      </c>
      <c r="O192" t="s">
        <v>21</v>
      </c>
      <c r="S192" s="1">
        <v>0.57499999999999996</v>
      </c>
      <c r="T192" s="1">
        <v>0.6958333333333333</v>
      </c>
      <c r="U192">
        <v>174</v>
      </c>
      <c r="V192" t="b">
        <v>0</v>
      </c>
      <c r="W192" t="s">
        <v>21</v>
      </c>
      <c r="Z192" t="b">
        <v>0</v>
      </c>
      <c r="AA192" t="s">
        <v>456</v>
      </c>
      <c r="AB192" t="b">
        <v>0</v>
      </c>
      <c r="AD192" s="2"/>
    </row>
    <row r="193" spans="1:30" x14ac:dyDescent="0.25">
      <c r="A193">
        <v>192</v>
      </c>
      <c r="B193" t="s">
        <v>17</v>
      </c>
      <c r="C193" s="3">
        <v>31239</v>
      </c>
      <c r="D193" s="2">
        <f ca="1">DATEDIF(gym_membership[[#This Row],[birthday]],TODAY(),"y")</f>
        <v>41</v>
      </c>
      <c r="E193">
        <v>39</v>
      </c>
      <c r="F193" t="s">
        <v>22</v>
      </c>
      <c r="G193">
        <v>4</v>
      </c>
      <c r="H193" t="s">
        <v>201</v>
      </c>
      <c r="I193" t="s">
        <v>34</v>
      </c>
      <c r="J193" t="s">
        <v>26</v>
      </c>
      <c r="K193" t="s">
        <v>94</v>
      </c>
      <c r="L193" t="s">
        <v>95</v>
      </c>
      <c r="N193" t="b">
        <v>0</v>
      </c>
      <c r="O193" t="s">
        <v>21</v>
      </c>
      <c r="S193" s="1">
        <v>0.71319444444444446</v>
      </c>
      <c r="T193" s="1">
        <v>0.74652777777777779</v>
      </c>
      <c r="U193">
        <v>48</v>
      </c>
      <c r="V193" t="b">
        <v>0</v>
      </c>
      <c r="W193" t="s">
        <v>21</v>
      </c>
      <c r="Z193" t="b">
        <v>0</v>
      </c>
      <c r="AA193" t="s">
        <v>456</v>
      </c>
      <c r="AB193" t="b">
        <v>1</v>
      </c>
      <c r="AD193" s="2"/>
    </row>
    <row r="194" spans="1:30" x14ac:dyDescent="0.25">
      <c r="A194">
        <v>193</v>
      </c>
      <c r="B194" t="s">
        <v>17</v>
      </c>
      <c r="C194" s="3">
        <v>41069</v>
      </c>
      <c r="D194" s="2">
        <f ca="1">DATEDIF(gym_membership[[#This Row],[birthday]],TODAY(),"y")</f>
        <v>14</v>
      </c>
      <c r="E194">
        <v>12</v>
      </c>
      <c r="F194" t="s">
        <v>18</v>
      </c>
      <c r="G194">
        <v>3</v>
      </c>
      <c r="H194" t="s">
        <v>138</v>
      </c>
      <c r="I194" t="s">
        <v>94</v>
      </c>
      <c r="J194" t="s">
        <v>95</v>
      </c>
      <c r="K194" t="s">
        <v>57</v>
      </c>
      <c r="N194" t="b">
        <v>1</v>
      </c>
      <c r="O194" t="s">
        <v>202</v>
      </c>
      <c r="P194" t="s">
        <v>72</v>
      </c>
      <c r="Q194" t="s">
        <v>41</v>
      </c>
      <c r="R194" t="s">
        <v>27</v>
      </c>
      <c r="S194" s="1">
        <v>0.58125000000000004</v>
      </c>
      <c r="T194" s="1">
        <v>0.63194444444444442</v>
      </c>
      <c r="U194">
        <v>73</v>
      </c>
      <c r="V194" t="b">
        <v>0</v>
      </c>
      <c r="W194" t="s">
        <v>21</v>
      </c>
      <c r="Z194" t="b">
        <v>0</v>
      </c>
      <c r="AA194" t="s">
        <v>456</v>
      </c>
      <c r="AB194" t="b">
        <v>1</v>
      </c>
      <c r="AD194" s="2"/>
    </row>
    <row r="195" spans="1:30" x14ac:dyDescent="0.25">
      <c r="A195">
        <v>194</v>
      </c>
      <c r="B195" t="s">
        <v>17</v>
      </c>
      <c r="C195" s="3">
        <v>37118</v>
      </c>
      <c r="D195" s="2">
        <f ca="1">DATEDIF(gym_membership[[#This Row],[birthday]],TODAY(),"y")</f>
        <v>25</v>
      </c>
      <c r="E195">
        <v>23</v>
      </c>
      <c r="F195" t="s">
        <v>18</v>
      </c>
      <c r="G195">
        <v>1</v>
      </c>
      <c r="H195" t="s">
        <v>57</v>
      </c>
      <c r="I195" t="s">
        <v>57</v>
      </c>
      <c r="N195" t="b">
        <v>0</v>
      </c>
      <c r="O195" t="s">
        <v>21</v>
      </c>
      <c r="S195" s="1">
        <v>0.70416666666666672</v>
      </c>
      <c r="T195" s="1">
        <v>0.8256944444444444</v>
      </c>
      <c r="U195">
        <v>175</v>
      </c>
      <c r="V195" t="b">
        <v>1</v>
      </c>
      <c r="W195" t="s">
        <v>153</v>
      </c>
      <c r="X195" t="s">
        <v>31</v>
      </c>
      <c r="Y195" t="s">
        <v>76</v>
      </c>
      <c r="Z195" t="b">
        <v>0</v>
      </c>
      <c r="AA195" t="s">
        <v>456</v>
      </c>
      <c r="AB195" t="b">
        <v>0</v>
      </c>
      <c r="AD195" s="2"/>
    </row>
    <row r="196" spans="1:30" x14ac:dyDescent="0.25">
      <c r="A196">
        <v>195</v>
      </c>
      <c r="B196" t="s">
        <v>25</v>
      </c>
      <c r="C196" s="3">
        <v>28969</v>
      </c>
      <c r="D196" s="2">
        <f ca="1">DATEDIF(gym_membership[[#This Row],[birthday]],TODAY(),"y")</f>
        <v>47</v>
      </c>
      <c r="E196">
        <v>45</v>
      </c>
      <c r="F196" t="s">
        <v>18</v>
      </c>
      <c r="G196">
        <v>2</v>
      </c>
      <c r="H196" t="s">
        <v>37</v>
      </c>
      <c r="I196" t="s">
        <v>34</v>
      </c>
      <c r="J196" t="s">
        <v>77</v>
      </c>
      <c r="N196" t="b">
        <v>0</v>
      </c>
      <c r="O196" t="s">
        <v>21</v>
      </c>
      <c r="S196" s="1">
        <v>0.47430555555555554</v>
      </c>
      <c r="T196" s="1">
        <v>0.57013888888888886</v>
      </c>
      <c r="U196">
        <v>138</v>
      </c>
      <c r="V196" t="b">
        <v>1</v>
      </c>
      <c r="W196" t="s">
        <v>203</v>
      </c>
      <c r="X196" t="s">
        <v>51</v>
      </c>
      <c r="Y196" t="s">
        <v>39</v>
      </c>
      <c r="Z196" t="b">
        <v>0</v>
      </c>
      <c r="AA196" t="s">
        <v>456</v>
      </c>
      <c r="AB196" t="b">
        <v>1</v>
      </c>
      <c r="AD196" s="2"/>
    </row>
    <row r="197" spans="1:30" x14ac:dyDescent="0.25">
      <c r="A197">
        <v>196</v>
      </c>
      <c r="B197" t="s">
        <v>25</v>
      </c>
      <c r="C197" s="3">
        <v>31087</v>
      </c>
      <c r="D197" s="2">
        <f ca="1">DATEDIF(gym_membership[[#This Row],[birthday]],TODAY(),"y")</f>
        <v>41</v>
      </c>
      <c r="E197">
        <v>39</v>
      </c>
      <c r="F197" t="s">
        <v>18</v>
      </c>
      <c r="G197">
        <v>5</v>
      </c>
      <c r="H197" t="s">
        <v>168</v>
      </c>
      <c r="I197" t="s">
        <v>44</v>
      </c>
      <c r="J197" t="s">
        <v>34</v>
      </c>
      <c r="K197" t="s">
        <v>26</v>
      </c>
      <c r="L197" t="s">
        <v>95</v>
      </c>
      <c r="M197" t="s">
        <v>77</v>
      </c>
      <c r="N197" t="b">
        <v>0</v>
      </c>
      <c r="O197" t="s">
        <v>21</v>
      </c>
      <c r="S197" s="1">
        <v>0.83402777777777781</v>
      </c>
      <c r="T197" s="1">
        <v>0.88055555555555554</v>
      </c>
      <c r="U197">
        <v>67</v>
      </c>
      <c r="V197" t="b">
        <v>1</v>
      </c>
      <c r="W197" t="s">
        <v>65</v>
      </c>
      <c r="X197" t="s">
        <v>65</v>
      </c>
      <c r="Z197" t="b">
        <v>1</v>
      </c>
      <c r="AA197" t="s">
        <v>43</v>
      </c>
      <c r="AB197" t="b">
        <v>0</v>
      </c>
      <c r="AD197" s="2"/>
    </row>
    <row r="198" spans="1:30" x14ac:dyDescent="0.25">
      <c r="A198">
        <v>197</v>
      </c>
      <c r="B198" t="s">
        <v>25</v>
      </c>
      <c r="C198" s="3">
        <v>40263</v>
      </c>
      <c r="D198" s="2">
        <f ca="1">DATEDIF(gym_membership[[#This Row],[birthday]],TODAY(),"y")</f>
        <v>16</v>
      </c>
      <c r="E198">
        <v>14</v>
      </c>
      <c r="F198" t="s">
        <v>22</v>
      </c>
      <c r="G198">
        <v>2</v>
      </c>
      <c r="H198" t="s">
        <v>66</v>
      </c>
      <c r="I198" t="s">
        <v>34</v>
      </c>
      <c r="J198" t="s">
        <v>57</v>
      </c>
      <c r="N198" t="b">
        <v>0</v>
      </c>
      <c r="O198" t="s">
        <v>21</v>
      </c>
      <c r="S198" s="1">
        <v>0.57847222222222228</v>
      </c>
      <c r="T198" s="1">
        <v>0.67083333333333328</v>
      </c>
      <c r="U198">
        <v>133</v>
      </c>
      <c r="V198" t="b">
        <v>1</v>
      </c>
      <c r="W198" t="s">
        <v>204</v>
      </c>
      <c r="X198" t="s">
        <v>39</v>
      </c>
      <c r="Y198" t="s">
        <v>51</v>
      </c>
      <c r="Z198" t="b">
        <v>1</v>
      </c>
      <c r="AA198" t="s">
        <v>29</v>
      </c>
      <c r="AB198" t="b">
        <v>0</v>
      </c>
      <c r="AD198" s="2"/>
    </row>
    <row r="199" spans="1:30" x14ac:dyDescent="0.25">
      <c r="A199">
        <v>198</v>
      </c>
      <c r="B199" t="s">
        <v>25</v>
      </c>
      <c r="C199" s="3">
        <v>34551</v>
      </c>
      <c r="D199" s="2">
        <f ca="1">DATEDIF(gym_membership[[#This Row],[birthday]],TODAY(),"y")</f>
        <v>32</v>
      </c>
      <c r="E199">
        <v>30</v>
      </c>
      <c r="F199" t="s">
        <v>18</v>
      </c>
      <c r="G199">
        <v>3</v>
      </c>
      <c r="H199" t="s">
        <v>71</v>
      </c>
      <c r="I199" t="s">
        <v>44</v>
      </c>
      <c r="J199" t="s">
        <v>94</v>
      </c>
      <c r="K199" t="s">
        <v>77</v>
      </c>
      <c r="N199" t="b">
        <v>1</v>
      </c>
      <c r="O199" t="s">
        <v>110</v>
      </c>
      <c r="P199" t="s">
        <v>41</v>
      </c>
      <c r="Q199" t="s">
        <v>103</v>
      </c>
      <c r="S199" s="1">
        <v>0.54166666666666663</v>
      </c>
      <c r="T199" s="1">
        <v>0.65486111111111112</v>
      </c>
      <c r="U199">
        <v>163</v>
      </c>
      <c r="V199" t="b">
        <v>1</v>
      </c>
      <c r="W199" t="s">
        <v>39</v>
      </c>
      <c r="X199" t="s">
        <v>39</v>
      </c>
      <c r="Z199" t="b">
        <v>1</v>
      </c>
      <c r="AA199" t="s">
        <v>43</v>
      </c>
      <c r="AB199" t="b">
        <v>1</v>
      </c>
      <c r="AD199" s="2"/>
    </row>
    <row r="200" spans="1:30" x14ac:dyDescent="0.25">
      <c r="A200">
        <v>199</v>
      </c>
      <c r="B200" t="s">
        <v>17</v>
      </c>
      <c r="C200" s="3">
        <v>39819</v>
      </c>
      <c r="D200" s="2">
        <f ca="1">DATEDIF(gym_membership[[#This Row],[birthday]],TODAY(),"y")</f>
        <v>17</v>
      </c>
      <c r="E200">
        <v>15</v>
      </c>
      <c r="F200" t="s">
        <v>18</v>
      </c>
      <c r="G200">
        <v>3</v>
      </c>
      <c r="H200" t="s">
        <v>173</v>
      </c>
      <c r="I200" t="s">
        <v>34</v>
      </c>
      <c r="J200" t="s">
        <v>95</v>
      </c>
      <c r="K200" t="s">
        <v>57</v>
      </c>
      <c r="N200" t="b">
        <v>0</v>
      </c>
      <c r="O200" t="s">
        <v>21</v>
      </c>
      <c r="S200" s="1">
        <v>0.41319444444444442</v>
      </c>
      <c r="T200" s="1">
        <v>0.46319444444444446</v>
      </c>
      <c r="U200">
        <v>72</v>
      </c>
      <c r="V200" t="b">
        <v>1</v>
      </c>
      <c r="W200" t="s">
        <v>39</v>
      </c>
      <c r="X200" t="s">
        <v>39</v>
      </c>
      <c r="Z200" t="b">
        <v>1</v>
      </c>
      <c r="AA200" t="s">
        <v>43</v>
      </c>
      <c r="AB200" t="b">
        <v>1</v>
      </c>
      <c r="AD200" s="2"/>
    </row>
    <row r="201" spans="1:30" x14ac:dyDescent="0.25">
      <c r="A201">
        <v>200</v>
      </c>
      <c r="B201" t="s">
        <v>25</v>
      </c>
      <c r="C201" s="3">
        <v>41152</v>
      </c>
      <c r="D201" s="2">
        <f ca="1">DATEDIF(gym_membership[[#This Row],[birthday]],TODAY(),"y")</f>
        <v>13</v>
      </c>
      <c r="E201">
        <v>12</v>
      </c>
      <c r="F201" t="s">
        <v>22</v>
      </c>
      <c r="G201">
        <v>1</v>
      </c>
      <c r="H201" t="s">
        <v>57</v>
      </c>
      <c r="I201" t="s">
        <v>57</v>
      </c>
      <c r="N201" t="b">
        <v>0</v>
      </c>
      <c r="O201" t="s">
        <v>21</v>
      </c>
      <c r="S201" s="1">
        <v>0.65763888888888888</v>
      </c>
      <c r="T201" s="1">
        <v>0.68611111111111112</v>
      </c>
      <c r="U201">
        <v>41</v>
      </c>
      <c r="V201" t="b">
        <v>1</v>
      </c>
      <c r="W201" t="s">
        <v>205</v>
      </c>
      <c r="X201" t="s">
        <v>59</v>
      </c>
      <c r="Y201" t="s">
        <v>31</v>
      </c>
      <c r="Z201" t="b">
        <v>1</v>
      </c>
      <c r="AA201" t="s">
        <v>43</v>
      </c>
      <c r="AB201" t="b">
        <v>1</v>
      </c>
      <c r="AD201" s="2"/>
    </row>
    <row r="202" spans="1:30" x14ac:dyDescent="0.25">
      <c r="A202">
        <v>201</v>
      </c>
      <c r="B202" t="s">
        <v>25</v>
      </c>
      <c r="C202" s="3">
        <v>28762</v>
      </c>
      <c r="D202" s="2">
        <f ca="1">DATEDIF(gym_membership[[#This Row],[birthday]],TODAY(),"y")</f>
        <v>47</v>
      </c>
      <c r="E202">
        <v>46</v>
      </c>
      <c r="F202" t="s">
        <v>22</v>
      </c>
      <c r="G202">
        <v>4</v>
      </c>
      <c r="H202" t="s">
        <v>144</v>
      </c>
      <c r="I202" t="s">
        <v>44</v>
      </c>
      <c r="J202" t="s">
        <v>34</v>
      </c>
      <c r="K202" t="s">
        <v>26</v>
      </c>
      <c r="L202" t="s">
        <v>77</v>
      </c>
      <c r="N202" t="b">
        <v>1</v>
      </c>
      <c r="O202" t="s">
        <v>206</v>
      </c>
      <c r="P202" t="s">
        <v>67</v>
      </c>
      <c r="Q202" t="s">
        <v>27</v>
      </c>
      <c r="R202" t="s">
        <v>120</v>
      </c>
      <c r="S202" s="1">
        <v>0.56319444444444444</v>
      </c>
      <c r="T202" s="1">
        <v>0.65763888888888888</v>
      </c>
      <c r="U202">
        <v>136</v>
      </c>
      <c r="V202" t="b">
        <v>1</v>
      </c>
      <c r="W202" t="s">
        <v>203</v>
      </c>
      <c r="X202" t="s">
        <v>51</v>
      </c>
      <c r="Y202" t="s">
        <v>39</v>
      </c>
      <c r="Z202" t="b">
        <v>1</v>
      </c>
      <c r="AA202" t="s">
        <v>29</v>
      </c>
      <c r="AB202" t="b">
        <v>0</v>
      </c>
      <c r="AD202" s="2"/>
    </row>
    <row r="203" spans="1:30" x14ac:dyDescent="0.25">
      <c r="A203">
        <v>202</v>
      </c>
      <c r="B203" t="s">
        <v>25</v>
      </c>
      <c r="C203" s="3">
        <v>27539</v>
      </c>
      <c r="D203" s="2">
        <f ca="1">DATEDIF(gym_membership[[#This Row],[birthday]],TODAY(),"y")</f>
        <v>51</v>
      </c>
      <c r="E203">
        <v>49</v>
      </c>
      <c r="F203" t="s">
        <v>18</v>
      </c>
      <c r="G203">
        <v>4</v>
      </c>
      <c r="H203" t="s">
        <v>19</v>
      </c>
      <c r="I203" t="s">
        <v>34</v>
      </c>
      <c r="J203" t="s">
        <v>26</v>
      </c>
      <c r="K203" t="s">
        <v>57</v>
      </c>
      <c r="L203" t="s">
        <v>77</v>
      </c>
      <c r="N203" t="b">
        <v>0</v>
      </c>
      <c r="O203" t="s">
        <v>21</v>
      </c>
      <c r="S203" s="1">
        <v>0.34791666666666665</v>
      </c>
      <c r="T203" s="1">
        <v>0.36944444444444446</v>
      </c>
      <c r="U203">
        <v>31</v>
      </c>
      <c r="V203" t="b">
        <v>1</v>
      </c>
      <c r="W203" t="s">
        <v>51</v>
      </c>
      <c r="X203" t="s">
        <v>51</v>
      </c>
      <c r="Z203" t="b">
        <v>0</v>
      </c>
      <c r="AA203" t="s">
        <v>456</v>
      </c>
      <c r="AB203" t="b">
        <v>0</v>
      </c>
      <c r="AD203" s="2"/>
    </row>
    <row r="204" spans="1:30" x14ac:dyDescent="0.25">
      <c r="A204">
        <v>203</v>
      </c>
      <c r="B204" t="s">
        <v>17</v>
      </c>
      <c r="C204" s="3">
        <v>29575</v>
      </c>
      <c r="D204" s="2">
        <f ca="1">DATEDIF(gym_membership[[#This Row],[birthday]],TODAY(),"y")</f>
        <v>45</v>
      </c>
      <c r="E204">
        <v>43</v>
      </c>
      <c r="F204" t="s">
        <v>18</v>
      </c>
      <c r="G204">
        <v>2</v>
      </c>
      <c r="H204" t="s">
        <v>133</v>
      </c>
      <c r="I204" t="s">
        <v>34</v>
      </c>
      <c r="J204" t="s">
        <v>94</v>
      </c>
      <c r="N204" t="b">
        <v>0</v>
      </c>
      <c r="O204" t="s">
        <v>21</v>
      </c>
      <c r="S204" s="1">
        <v>0.77222222222222225</v>
      </c>
      <c r="T204" s="1">
        <v>0.87083333333333335</v>
      </c>
      <c r="U204">
        <v>142</v>
      </c>
      <c r="V204" t="b">
        <v>1</v>
      </c>
      <c r="W204" t="s">
        <v>124</v>
      </c>
      <c r="X204" t="s">
        <v>31</v>
      </c>
      <c r="Y204" t="s">
        <v>39</v>
      </c>
      <c r="Z204" t="b">
        <v>1</v>
      </c>
      <c r="AA204" t="s">
        <v>24</v>
      </c>
      <c r="AB204" t="b">
        <v>1</v>
      </c>
      <c r="AD204" s="2"/>
    </row>
    <row r="205" spans="1:30" x14ac:dyDescent="0.25">
      <c r="A205">
        <v>204</v>
      </c>
      <c r="B205" t="s">
        <v>25</v>
      </c>
      <c r="C205" s="3">
        <v>38401</v>
      </c>
      <c r="D205" s="2">
        <f ca="1">DATEDIF(gym_membership[[#This Row],[birthday]],TODAY(),"y")</f>
        <v>21</v>
      </c>
      <c r="E205">
        <v>19</v>
      </c>
      <c r="F205" t="s">
        <v>18</v>
      </c>
      <c r="G205">
        <v>2</v>
      </c>
      <c r="H205" t="s">
        <v>32</v>
      </c>
      <c r="I205" t="s">
        <v>95</v>
      </c>
      <c r="J205" t="s">
        <v>77</v>
      </c>
      <c r="N205" t="b">
        <v>1</v>
      </c>
      <c r="O205" t="s">
        <v>91</v>
      </c>
      <c r="P205" t="s">
        <v>91</v>
      </c>
      <c r="S205" s="1">
        <v>0.71736111111111112</v>
      </c>
      <c r="T205" s="1">
        <v>0.80972222222222223</v>
      </c>
      <c r="U205">
        <v>133</v>
      </c>
      <c r="V205" t="b">
        <v>1</v>
      </c>
      <c r="W205" t="s">
        <v>59</v>
      </c>
      <c r="X205" t="s">
        <v>59</v>
      </c>
      <c r="Z205" t="b">
        <v>1</v>
      </c>
      <c r="AA205" t="s">
        <v>43</v>
      </c>
      <c r="AB205" t="b">
        <v>0</v>
      </c>
      <c r="AD205" s="2"/>
    </row>
    <row r="206" spans="1:30" x14ac:dyDescent="0.25">
      <c r="A206">
        <v>205</v>
      </c>
      <c r="B206" t="s">
        <v>25</v>
      </c>
      <c r="C206" s="3">
        <v>30100</v>
      </c>
      <c r="D206" s="2">
        <f ca="1">DATEDIF(gym_membership[[#This Row],[birthday]],TODAY(),"y")</f>
        <v>44</v>
      </c>
      <c r="E206">
        <v>42</v>
      </c>
      <c r="F206" t="s">
        <v>18</v>
      </c>
      <c r="G206">
        <v>3</v>
      </c>
      <c r="H206" t="s">
        <v>193</v>
      </c>
      <c r="I206" t="s">
        <v>44</v>
      </c>
      <c r="J206" t="s">
        <v>26</v>
      </c>
      <c r="K206" t="s">
        <v>95</v>
      </c>
      <c r="N206" t="b">
        <v>0</v>
      </c>
      <c r="O206" t="s">
        <v>21</v>
      </c>
      <c r="S206" s="1">
        <v>0.41458333333333336</v>
      </c>
      <c r="T206" s="1">
        <v>0.53472222222222221</v>
      </c>
      <c r="U206">
        <v>173</v>
      </c>
      <c r="V206" t="b">
        <v>1</v>
      </c>
      <c r="W206" t="s">
        <v>65</v>
      </c>
      <c r="X206" t="s">
        <v>65</v>
      </c>
      <c r="Z206" t="b">
        <v>1</v>
      </c>
      <c r="AA206" t="s">
        <v>24</v>
      </c>
      <c r="AB206" t="b">
        <v>0</v>
      </c>
      <c r="AD206" s="2"/>
    </row>
    <row r="207" spans="1:30" x14ac:dyDescent="0.25">
      <c r="A207">
        <v>206</v>
      </c>
      <c r="B207" t="s">
        <v>25</v>
      </c>
      <c r="C207" s="3">
        <v>28570</v>
      </c>
      <c r="D207" s="2">
        <f ca="1">DATEDIF(gym_membership[[#This Row],[birthday]],TODAY(),"y")</f>
        <v>48</v>
      </c>
      <c r="E207">
        <v>46</v>
      </c>
      <c r="F207" t="s">
        <v>22</v>
      </c>
      <c r="G207">
        <v>1</v>
      </c>
      <c r="H207" t="s">
        <v>94</v>
      </c>
      <c r="I207" t="s">
        <v>94</v>
      </c>
      <c r="N207" t="b">
        <v>1</v>
      </c>
      <c r="O207" t="s">
        <v>72</v>
      </c>
      <c r="P207" t="s">
        <v>72</v>
      </c>
      <c r="S207" s="1">
        <v>0.75416666666666665</v>
      </c>
      <c r="T207" s="1">
        <v>0.86736111111111114</v>
      </c>
      <c r="U207">
        <v>163</v>
      </c>
      <c r="V207" t="b">
        <v>1</v>
      </c>
      <c r="W207" t="s">
        <v>207</v>
      </c>
      <c r="X207" t="s">
        <v>76</v>
      </c>
      <c r="Y207" t="s">
        <v>51</v>
      </c>
      <c r="Z207" t="b">
        <v>0</v>
      </c>
      <c r="AA207" t="s">
        <v>456</v>
      </c>
      <c r="AB207" t="b">
        <v>0</v>
      </c>
      <c r="AD207" s="2"/>
    </row>
    <row r="208" spans="1:30" x14ac:dyDescent="0.25">
      <c r="A208">
        <v>207</v>
      </c>
      <c r="B208" t="s">
        <v>25</v>
      </c>
      <c r="C208" s="3">
        <v>38888</v>
      </c>
      <c r="D208" s="2">
        <f ca="1">DATEDIF(gym_membership[[#This Row],[birthday]],TODAY(),"y")</f>
        <v>20</v>
      </c>
      <c r="E208">
        <v>18</v>
      </c>
      <c r="F208" t="s">
        <v>22</v>
      </c>
      <c r="G208">
        <v>3</v>
      </c>
      <c r="H208" t="s">
        <v>78</v>
      </c>
      <c r="I208" t="s">
        <v>44</v>
      </c>
      <c r="J208" t="s">
        <v>34</v>
      </c>
      <c r="K208" t="s">
        <v>95</v>
      </c>
      <c r="N208" t="b">
        <v>1</v>
      </c>
      <c r="O208" t="s">
        <v>181</v>
      </c>
      <c r="P208" t="s">
        <v>128</v>
      </c>
      <c r="Q208" t="s">
        <v>41</v>
      </c>
      <c r="S208" s="1">
        <v>0.4909722222222222</v>
      </c>
      <c r="T208" s="1">
        <v>0.58333333333333337</v>
      </c>
      <c r="U208">
        <v>133</v>
      </c>
      <c r="V208" t="b">
        <v>0</v>
      </c>
      <c r="W208" t="s">
        <v>21</v>
      </c>
      <c r="Z208" t="b">
        <v>1</v>
      </c>
      <c r="AA208" t="s">
        <v>24</v>
      </c>
      <c r="AB208" t="b">
        <v>0</v>
      </c>
      <c r="AD208" s="2"/>
    </row>
    <row r="209" spans="1:30" x14ac:dyDescent="0.25">
      <c r="A209">
        <v>208</v>
      </c>
      <c r="B209" t="s">
        <v>25</v>
      </c>
      <c r="C209" s="3">
        <v>30318</v>
      </c>
      <c r="D209" s="2">
        <f ca="1">DATEDIF(gym_membership[[#This Row],[birthday]],TODAY(),"y")</f>
        <v>43</v>
      </c>
      <c r="E209">
        <v>41</v>
      </c>
      <c r="F209" t="s">
        <v>18</v>
      </c>
      <c r="G209">
        <v>1</v>
      </c>
      <c r="H209" t="s">
        <v>95</v>
      </c>
      <c r="I209" t="s">
        <v>95</v>
      </c>
      <c r="N209" t="b">
        <v>1</v>
      </c>
      <c r="O209" t="s">
        <v>208</v>
      </c>
      <c r="P209" t="s">
        <v>128</v>
      </c>
      <c r="Q209" t="s">
        <v>67</v>
      </c>
      <c r="S209" s="1">
        <v>0.4777777777777778</v>
      </c>
      <c r="T209" s="1">
        <v>0.54861111111111116</v>
      </c>
      <c r="U209">
        <v>102</v>
      </c>
      <c r="V209" t="b">
        <v>1</v>
      </c>
      <c r="W209" t="s">
        <v>69</v>
      </c>
      <c r="X209" t="s">
        <v>65</v>
      </c>
      <c r="Y209" t="s">
        <v>39</v>
      </c>
      <c r="Z209" t="b">
        <v>1</v>
      </c>
      <c r="AA209" t="s">
        <v>43</v>
      </c>
      <c r="AB209" t="b">
        <v>1</v>
      </c>
      <c r="AD209" s="2"/>
    </row>
    <row r="210" spans="1:30" x14ac:dyDescent="0.25">
      <c r="A210">
        <v>209</v>
      </c>
      <c r="B210" t="s">
        <v>25</v>
      </c>
      <c r="C210" s="3">
        <v>38606</v>
      </c>
      <c r="D210" s="2">
        <f ca="1">DATEDIF(gym_membership[[#This Row],[birthday]],TODAY(),"y")</f>
        <v>20</v>
      </c>
      <c r="E210">
        <v>19</v>
      </c>
      <c r="F210" t="s">
        <v>18</v>
      </c>
      <c r="G210">
        <v>4</v>
      </c>
      <c r="H210" t="s">
        <v>209</v>
      </c>
      <c r="I210" t="s">
        <v>44</v>
      </c>
      <c r="J210" t="s">
        <v>34</v>
      </c>
      <c r="K210" t="s">
        <v>57</v>
      </c>
      <c r="L210" t="s">
        <v>77</v>
      </c>
      <c r="N210" t="b">
        <v>0</v>
      </c>
      <c r="O210" t="s">
        <v>21</v>
      </c>
      <c r="S210" s="1">
        <v>0.79652777777777772</v>
      </c>
      <c r="T210" s="1">
        <v>0.83750000000000002</v>
      </c>
      <c r="U210">
        <v>59</v>
      </c>
      <c r="V210" t="b">
        <v>1</v>
      </c>
      <c r="W210" t="s">
        <v>39</v>
      </c>
      <c r="X210" t="s">
        <v>39</v>
      </c>
      <c r="Z210" t="b">
        <v>1</v>
      </c>
      <c r="AA210" t="s">
        <v>45</v>
      </c>
      <c r="AB210" t="b">
        <v>0</v>
      </c>
      <c r="AD210" s="2"/>
    </row>
    <row r="211" spans="1:30" x14ac:dyDescent="0.25">
      <c r="A211">
        <v>210</v>
      </c>
      <c r="B211" t="s">
        <v>25</v>
      </c>
      <c r="C211" s="3">
        <v>39315</v>
      </c>
      <c r="D211" s="2">
        <f ca="1">DATEDIF(gym_membership[[#This Row],[birthday]],TODAY(),"y")</f>
        <v>19</v>
      </c>
      <c r="E211">
        <v>17</v>
      </c>
      <c r="F211" t="s">
        <v>18</v>
      </c>
      <c r="G211">
        <v>2</v>
      </c>
      <c r="H211" t="s">
        <v>132</v>
      </c>
      <c r="I211" t="s">
        <v>44</v>
      </c>
      <c r="J211" t="s">
        <v>94</v>
      </c>
      <c r="N211" t="b">
        <v>0</v>
      </c>
      <c r="O211" t="s">
        <v>21</v>
      </c>
      <c r="S211" s="1">
        <v>0.73888888888888893</v>
      </c>
      <c r="T211" s="1">
        <v>0.76388888888888884</v>
      </c>
      <c r="U211">
        <v>36</v>
      </c>
      <c r="V211" t="b">
        <v>1</v>
      </c>
      <c r="W211" t="s">
        <v>65</v>
      </c>
      <c r="X211" t="s">
        <v>65</v>
      </c>
      <c r="Z211" t="b">
        <v>1</v>
      </c>
      <c r="AA211" t="s">
        <v>24</v>
      </c>
      <c r="AB211" t="b">
        <v>0</v>
      </c>
      <c r="AD211" s="2"/>
    </row>
    <row r="212" spans="1:30" x14ac:dyDescent="0.25">
      <c r="A212">
        <v>211</v>
      </c>
      <c r="B212" t="s">
        <v>17</v>
      </c>
      <c r="C212" s="3">
        <v>35515</v>
      </c>
      <c r="D212" s="2">
        <f ca="1">DATEDIF(gym_membership[[#This Row],[birthday]],TODAY(),"y")</f>
        <v>29</v>
      </c>
      <c r="E212">
        <v>27</v>
      </c>
      <c r="F212" t="s">
        <v>22</v>
      </c>
      <c r="G212">
        <v>2</v>
      </c>
      <c r="H212" t="s">
        <v>66</v>
      </c>
      <c r="I212" t="s">
        <v>34</v>
      </c>
      <c r="J212" t="s">
        <v>57</v>
      </c>
      <c r="N212" t="b">
        <v>1</v>
      </c>
      <c r="O212" t="s">
        <v>58</v>
      </c>
      <c r="P212" t="s">
        <v>58</v>
      </c>
      <c r="S212" s="1">
        <v>0.38194444444444442</v>
      </c>
      <c r="T212" s="1">
        <v>0.48333333333333334</v>
      </c>
      <c r="U212">
        <v>146</v>
      </c>
      <c r="V212" t="b">
        <v>0</v>
      </c>
      <c r="W212" t="s">
        <v>21</v>
      </c>
      <c r="Z212" t="b">
        <v>1</v>
      </c>
      <c r="AA212" t="s">
        <v>24</v>
      </c>
      <c r="AB212" t="b">
        <v>1</v>
      </c>
      <c r="AD212" s="2"/>
    </row>
    <row r="213" spans="1:30" x14ac:dyDescent="0.25">
      <c r="A213">
        <v>212</v>
      </c>
      <c r="B213" t="s">
        <v>25</v>
      </c>
      <c r="C213" s="3">
        <v>36182</v>
      </c>
      <c r="D213" s="2">
        <f ca="1">DATEDIF(gym_membership[[#This Row],[birthday]],TODAY(),"y")</f>
        <v>27</v>
      </c>
      <c r="E213">
        <v>25</v>
      </c>
      <c r="F213" t="s">
        <v>18</v>
      </c>
      <c r="G213">
        <v>3</v>
      </c>
      <c r="H213" t="s">
        <v>84</v>
      </c>
      <c r="I213" t="s">
        <v>26</v>
      </c>
      <c r="J213" t="s">
        <v>94</v>
      </c>
      <c r="K213" t="s">
        <v>57</v>
      </c>
      <c r="N213" t="b">
        <v>0</v>
      </c>
      <c r="O213" t="s">
        <v>21</v>
      </c>
      <c r="S213" s="1">
        <v>0.72291666666666665</v>
      </c>
      <c r="T213" s="1">
        <v>0.76180555555555551</v>
      </c>
      <c r="U213">
        <v>56</v>
      </c>
      <c r="V213" t="b">
        <v>0</v>
      </c>
      <c r="W213" t="s">
        <v>21</v>
      </c>
      <c r="Z213" t="b">
        <v>0</v>
      </c>
      <c r="AA213" t="s">
        <v>456</v>
      </c>
      <c r="AB213" t="b">
        <v>1</v>
      </c>
      <c r="AD213" s="2"/>
    </row>
    <row r="214" spans="1:30" x14ac:dyDescent="0.25">
      <c r="A214">
        <v>213</v>
      </c>
      <c r="B214" t="s">
        <v>25</v>
      </c>
      <c r="C214" s="3">
        <v>37090</v>
      </c>
      <c r="D214" s="2">
        <f ca="1">DATEDIF(gym_membership[[#This Row],[birthday]],TODAY(),"y")</f>
        <v>25</v>
      </c>
      <c r="E214">
        <v>23</v>
      </c>
      <c r="F214" t="s">
        <v>18</v>
      </c>
      <c r="G214">
        <v>2</v>
      </c>
      <c r="H214" t="s">
        <v>133</v>
      </c>
      <c r="I214" t="s">
        <v>34</v>
      </c>
      <c r="J214" t="s">
        <v>94</v>
      </c>
      <c r="N214" t="b">
        <v>1</v>
      </c>
      <c r="O214" t="s">
        <v>121</v>
      </c>
      <c r="P214" t="s">
        <v>27</v>
      </c>
      <c r="Q214" t="s">
        <v>72</v>
      </c>
      <c r="S214" s="1">
        <v>0.54027777777777775</v>
      </c>
      <c r="T214" s="1">
        <v>0.65694444444444444</v>
      </c>
      <c r="U214">
        <v>168</v>
      </c>
      <c r="V214" t="b">
        <v>0</v>
      </c>
      <c r="W214" t="s">
        <v>21</v>
      </c>
      <c r="Z214" t="b">
        <v>0</v>
      </c>
      <c r="AA214" t="s">
        <v>456</v>
      </c>
      <c r="AB214" t="b">
        <v>0</v>
      </c>
      <c r="AD214" s="2"/>
    </row>
    <row r="215" spans="1:30" x14ac:dyDescent="0.25">
      <c r="A215">
        <v>214</v>
      </c>
      <c r="B215" t="s">
        <v>17</v>
      </c>
      <c r="C215" s="3">
        <v>32509</v>
      </c>
      <c r="D215" s="2">
        <f ca="1">DATEDIF(gym_membership[[#This Row],[birthday]],TODAY(),"y")</f>
        <v>37</v>
      </c>
      <c r="E215">
        <v>35</v>
      </c>
      <c r="F215" t="s">
        <v>22</v>
      </c>
      <c r="G215">
        <v>1</v>
      </c>
      <c r="H215" t="s">
        <v>77</v>
      </c>
      <c r="I215" t="s">
        <v>77</v>
      </c>
      <c r="N215" t="b">
        <v>0</v>
      </c>
      <c r="O215" t="s">
        <v>21</v>
      </c>
      <c r="S215" s="1">
        <v>0.35694444444444445</v>
      </c>
      <c r="T215" s="1">
        <v>0.39374999999999999</v>
      </c>
      <c r="U215">
        <v>53</v>
      </c>
      <c r="V215" t="b">
        <v>0</v>
      </c>
      <c r="W215" t="s">
        <v>21</v>
      </c>
      <c r="Z215" t="b">
        <v>1</v>
      </c>
      <c r="AA215" t="s">
        <v>24</v>
      </c>
      <c r="AB215" t="b">
        <v>0</v>
      </c>
      <c r="AD215" s="2"/>
    </row>
    <row r="216" spans="1:30" x14ac:dyDescent="0.25">
      <c r="A216">
        <v>215</v>
      </c>
      <c r="B216" t="s">
        <v>17</v>
      </c>
      <c r="C216" s="3">
        <v>31395</v>
      </c>
      <c r="D216" s="2">
        <f ca="1">DATEDIF(gym_membership[[#This Row],[birthday]],TODAY(),"y")</f>
        <v>40</v>
      </c>
      <c r="E216">
        <v>38</v>
      </c>
      <c r="F216" t="s">
        <v>22</v>
      </c>
      <c r="G216">
        <v>3</v>
      </c>
      <c r="H216" t="s">
        <v>46</v>
      </c>
      <c r="I216" t="s">
        <v>44</v>
      </c>
      <c r="J216" t="s">
        <v>95</v>
      </c>
      <c r="K216" t="s">
        <v>77</v>
      </c>
      <c r="N216" t="b">
        <v>1</v>
      </c>
      <c r="O216" t="s">
        <v>103</v>
      </c>
      <c r="P216" t="s">
        <v>103</v>
      </c>
      <c r="S216" s="1">
        <v>0.34513888888888888</v>
      </c>
      <c r="T216" s="1">
        <v>0.44305555555555554</v>
      </c>
      <c r="U216">
        <v>141</v>
      </c>
      <c r="V216" t="b">
        <v>0</v>
      </c>
      <c r="W216" t="s">
        <v>21</v>
      </c>
      <c r="Z216" t="b">
        <v>0</v>
      </c>
      <c r="AA216" t="s">
        <v>456</v>
      </c>
      <c r="AB216" t="b">
        <v>1</v>
      </c>
      <c r="AD216" s="2"/>
    </row>
    <row r="217" spans="1:30" x14ac:dyDescent="0.25">
      <c r="A217">
        <v>216</v>
      </c>
      <c r="B217" t="s">
        <v>25</v>
      </c>
      <c r="C217" s="3">
        <v>27495</v>
      </c>
      <c r="D217" s="2">
        <f ca="1">DATEDIF(gym_membership[[#This Row],[birthday]],TODAY(),"y")</f>
        <v>51</v>
      </c>
      <c r="E217">
        <v>49</v>
      </c>
      <c r="F217" t="s">
        <v>18</v>
      </c>
      <c r="G217">
        <v>3</v>
      </c>
      <c r="H217" t="s">
        <v>210</v>
      </c>
      <c r="I217" t="s">
        <v>44</v>
      </c>
      <c r="J217" t="s">
        <v>34</v>
      </c>
      <c r="K217" t="s">
        <v>77</v>
      </c>
      <c r="N217" t="b">
        <v>0</v>
      </c>
      <c r="O217" t="s">
        <v>21</v>
      </c>
      <c r="S217" s="1">
        <v>0.52569444444444446</v>
      </c>
      <c r="T217" s="1">
        <v>0.55208333333333337</v>
      </c>
      <c r="U217">
        <v>38</v>
      </c>
      <c r="V217" t="b">
        <v>1</v>
      </c>
      <c r="W217" t="s">
        <v>65</v>
      </c>
      <c r="X217" t="s">
        <v>65</v>
      </c>
      <c r="Z217" t="b">
        <v>1</v>
      </c>
      <c r="AA217" t="s">
        <v>29</v>
      </c>
      <c r="AB217" t="b">
        <v>0</v>
      </c>
      <c r="AD217" s="2"/>
    </row>
    <row r="218" spans="1:30" x14ac:dyDescent="0.25">
      <c r="A218">
        <v>217</v>
      </c>
      <c r="B218" t="s">
        <v>25</v>
      </c>
      <c r="C218" s="3">
        <v>33040</v>
      </c>
      <c r="D218" s="2">
        <f ca="1">DATEDIF(gym_membership[[#This Row],[birthday]],TODAY(),"y")</f>
        <v>36</v>
      </c>
      <c r="E218">
        <v>34</v>
      </c>
      <c r="F218" t="s">
        <v>22</v>
      </c>
      <c r="G218">
        <v>1</v>
      </c>
      <c r="H218" t="s">
        <v>94</v>
      </c>
      <c r="I218" t="s">
        <v>94</v>
      </c>
      <c r="N218" t="b">
        <v>0</v>
      </c>
      <c r="O218" t="s">
        <v>21</v>
      </c>
      <c r="S218" s="1">
        <v>0.52916666666666667</v>
      </c>
      <c r="T218" s="1">
        <v>0.55625000000000002</v>
      </c>
      <c r="U218">
        <v>39</v>
      </c>
      <c r="V218" t="b">
        <v>1</v>
      </c>
      <c r="W218" t="s">
        <v>39</v>
      </c>
      <c r="X218" t="s">
        <v>39</v>
      </c>
      <c r="Z218" t="b">
        <v>1</v>
      </c>
      <c r="AA218" t="s">
        <v>43</v>
      </c>
      <c r="AB218" t="b">
        <v>1</v>
      </c>
      <c r="AD218" s="2"/>
    </row>
    <row r="219" spans="1:30" x14ac:dyDescent="0.25">
      <c r="A219">
        <v>218</v>
      </c>
      <c r="B219" t="s">
        <v>17</v>
      </c>
      <c r="C219" s="3">
        <v>28502</v>
      </c>
      <c r="D219" s="2">
        <f ca="1">DATEDIF(gym_membership[[#This Row],[birthday]],TODAY(),"y")</f>
        <v>48</v>
      </c>
      <c r="E219">
        <v>46</v>
      </c>
      <c r="F219" t="s">
        <v>18</v>
      </c>
      <c r="G219">
        <v>3</v>
      </c>
      <c r="H219" t="s">
        <v>81</v>
      </c>
      <c r="I219" t="s">
        <v>94</v>
      </c>
      <c r="J219" t="s">
        <v>95</v>
      </c>
      <c r="K219" t="s">
        <v>77</v>
      </c>
      <c r="N219" t="b">
        <v>1</v>
      </c>
      <c r="O219" t="s">
        <v>41</v>
      </c>
      <c r="P219" t="s">
        <v>41</v>
      </c>
      <c r="S219" s="1">
        <v>0.75069444444444444</v>
      </c>
      <c r="T219" s="1">
        <v>0.77500000000000002</v>
      </c>
      <c r="U219">
        <v>35</v>
      </c>
      <c r="V219" t="b">
        <v>1</v>
      </c>
      <c r="W219" t="s">
        <v>97</v>
      </c>
      <c r="X219" t="s">
        <v>39</v>
      </c>
      <c r="Y219" t="s">
        <v>31</v>
      </c>
      <c r="Z219" t="b">
        <v>0</v>
      </c>
      <c r="AA219" t="s">
        <v>456</v>
      </c>
      <c r="AB219" t="b">
        <v>0</v>
      </c>
      <c r="AD219" s="2"/>
    </row>
    <row r="220" spans="1:30" x14ac:dyDescent="0.25">
      <c r="A220">
        <v>219</v>
      </c>
      <c r="B220" t="s">
        <v>25</v>
      </c>
      <c r="C220" s="3">
        <v>29024</v>
      </c>
      <c r="D220" s="2">
        <f ca="1">DATEDIF(gym_membership[[#This Row],[birthday]],TODAY(),"y")</f>
        <v>47</v>
      </c>
      <c r="E220">
        <v>45</v>
      </c>
      <c r="F220" t="s">
        <v>22</v>
      </c>
      <c r="G220">
        <v>5</v>
      </c>
      <c r="H220" t="s">
        <v>211</v>
      </c>
      <c r="I220" t="s">
        <v>44</v>
      </c>
      <c r="J220" t="s">
        <v>34</v>
      </c>
      <c r="K220" t="s">
        <v>94</v>
      </c>
      <c r="L220" t="s">
        <v>57</v>
      </c>
      <c r="M220" t="s">
        <v>77</v>
      </c>
      <c r="N220" t="b">
        <v>1</v>
      </c>
      <c r="O220" t="s">
        <v>212</v>
      </c>
      <c r="P220" t="s">
        <v>100</v>
      </c>
      <c r="Q220" t="s">
        <v>96</v>
      </c>
      <c r="R220" t="s">
        <v>41</v>
      </c>
      <c r="S220" s="1">
        <v>0.62430555555555556</v>
      </c>
      <c r="T220" s="1">
        <v>0.70763888888888893</v>
      </c>
      <c r="U220">
        <v>120</v>
      </c>
      <c r="V220" t="b">
        <v>0</v>
      </c>
      <c r="W220" t="s">
        <v>21</v>
      </c>
      <c r="Z220" t="b">
        <v>0</v>
      </c>
      <c r="AA220" t="s">
        <v>456</v>
      </c>
      <c r="AB220" t="b">
        <v>1</v>
      </c>
      <c r="AD220" s="2"/>
    </row>
    <row r="221" spans="1:30" x14ac:dyDescent="0.25">
      <c r="A221">
        <v>220</v>
      </c>
      <c r="B221" t="s">
        <v>25</v>
      </c>
      <c r="C221" s="3">
        <v>32093</v>
      </c>
      <c r="D221" s="2">
        <f ca="1">DATEDIF(gym_membership[[#This Row],[birthday]],TODAY(),"y")</f>
        <v>38</v>
      </c>
      <c r="E221">
        <v>36</v>
      </c>
      <c r="F221" t="s">
        <v>18</v>
      </c>
      <c r="G221">
        <v>5</v>
      </c>
      <c r="H221" t="s">
        <v>102</v>
      </c>
      <c r="I221" t="s">
        <v>44</v>
      </c>
      <c r="J221" t="s">
        <v>34</v>
      </c>
      <c r="K221" t="s">
        <v>94</v>
      </c>
      <c r="L221" t="s">
        <v>95</v>
      </c>
      <c r="M221" t="s">
        <v>57</v>
      </c>
      <c r="N221" t="b">
        <v>0</v>
      </c>
      <c r="O221" t="s">
        <v>21</v>
      </c>
      <c r="S221" s="1">
        <v>0.87291666666666667</v>
      </c>
      <c r="T221" s="1">
        <v>0.92708333333333337</v>
      </c>
      <c r="U221">
        <v>78</v>
      </c>
      <c r="V221" t="b">
        <v>1</v>
      </c>
      <c r="W221" t="s">
        <v>65</v>
      </c>
      <c r="X221" t="s">
        <v>65</v>
      </c>
      <c r="Z221" t="b">
        <v>1</v>
      </c>
      <c r="AA221" t="s">
        <v>29</v>
      </c>
      <c r="AB221" t="b">
        <v>0</v>
      </c>
      <c r="AD221" s="2"/>
    </row>
    <row r="222" spans="1:30" x14ac:dyDescent="0.25">
      <c r="A222">
        <v>221</v>
      </c>
      <c r="B222" t="s">
        <v>25</v>
      </c>
      <c r="C222" s="3">
        <v>28919</v>
      </c>
      <c r="D222" s="2">
        <f ca="1">DATEDIF(gym_membership[[#This Row],[birthday]],TODAY(),"y")</f>
        <v>47</v>
      </c>
      <c r="E222">
        <v>45</v>
      </c>
      <c r="F222" t="s">
        <v>18</v>
      </c>
      <c r="G222">
        <v>2</v>
      </c>
      <c r="H222" t="s">
        <v>126</v>
      </c>
      <c r="I222" t="s">
        <v>94</v>
      </c>
      <c r="J222" t="s">
        <v>57</v>
      </c>
      <c r="N222" t="b">
        <v>0</v>
      </c>
      <c r="O222" t="s">
        <v>21</v>
      </c>
      <c r="S222" s="1">
        <v>0.50902777777777775</v>
      </c>
      <c r="T222" s="1">
        <v>0.61597222222222225</v>
      </c>
      <c r="U222">
        <v>154</v>
      </c>
      <c r="V222" t="b">
        <v>1</v>
      </c>
      <c r="W222" t="s">
        <v>31</v>
      </c>
      <c r="X222" t="s">
        <v>31</v>
      </c>
      <c r="Z222" t="b">
        <v>1</v>
      </c>
      <c r="AA222" t="s">
        <v>24</v>
      </c>
      <c r="AB222" t="b">
        <v>1</v>
      </c>
      <c r="AD222" s="2"/>
    </row>
    <row r="223" spans="1:30" x14ac:dyDescent="0.25">
      <c r="A223">
        <v>222</v>
      </c>
      <c r="B223" t="s">
        <v>25</v>
      </c>
      <c r="C223" s="3">
        <v>27492</v>
      </c>
      <c r="D223" s="2">
        <f ca="1">DATEDIF(gym_membership[[#This Row],[birthday]],TODAY(),"y")</f>
        <v>51</v>
      </c>
      <c r="E223">
        <v>49</v>
      </c>
      <c r="F223" t="s">
        <v>18</v>
      </c>
      <c r="G223">
        <v>3</v>
      </c>
      <c r="H223" t="s">
        <v>123</v>
      </c>
      <c r="I223" t="s">
        <v>44</v>
      </c>
      <c r="J223" t="s">
        <v>94</v>
      </c>
      <c r="K223" t="s">
        <v>95</v>
      </c>
      <c r="N223" t="b">
        <v>1</v>
      </c>
      <c r="O223" t="s">
        <v>213</v>
      </c>
      <c r="P223" t="s">
        <v>58</v>
      </c>
      <c r="Q223" t="s">
        <v>27</v>
      </c>
      <c r="R223" t="s">
        <v>100</v>
      </c>
      <c r="S223" s="1">
        <v>0.83402777777777781</v>
      </c>
      <c r="T223" s="1">
        <v>0.94027777777777777</v>
      </c>
      <c r="U223">
        <v>153</v>
      </c>
      <c r="V223" t="b">
        <v>0</v>
      </c>
      <c r="W223" t="s">
        <v>21</v>
      </c>
      <c r="Z223" t="b">
        <v>1</v>
      </c>
      <c r="AA223" t="s">
        <v>29</v>
      </c>
      <c r="AB223" t="b">
        <v>0</v>
      </c>
      <c r="AD223" s="2"/>
    </row>
    <row r="224" spans="1:30" x14ac:dyDescent="0.25">
      <c r="A224">
        <v>223</v>
      </c>
      <c r="B224" t="s">
        <v>25</v>
      </c>
      <c r="C224" s="3">
        <v>38630</v>
      </c>
      <c r="D224" s="2">
        <f ca="1">DATEDIF(gym_membership[[#This Row],[birthday]],TODAY(),"y")</f>
        <v>20</v>
      </c>
      <c r="E224">
        <v>19</v>
      </c>
      <c r="F224" t="s">
        <v>22</v>
      </c>
      <c r="G224">
        <v>5</v>
      </c>
      <c r="H224" t="s">
        <v>102</v>
      </c>
      <c r="I224" t="s">
        <v>44</v>
      </c>
      <c r="J224" t="s">
        <v>34</v>
      </c>
      <c r="K224" t="s">
        <v>94</v>
      </c>
      <c r="L224" t="s">
        <v>95</v>
      </c>
      <c r="M224" t="s">
        <v>57</v>
      </c>
      <c r="N224" t="b">
        <v>0</v>
      </c>
      <c r="O224" t="s">
        <v>21</v>
      </c>
      <c r="S224" s="1">
        <v>0.84930555555555554</v>
      </c>
      <c r="T224" s="1">
        <v>0.91111111111111109</v>
      </c>
      <c r="U224">
        <v>89</v>
      </c>
      <c r="V224" t="b">
        <v>1</v>
      </c>
      <c r="W224" t="s">
        <v>39</v>
      </c>
      <c r="X224" t="s">
        <v>39</v>
      </c>
      <c r="Z224" t="b">
        <v>0</v>
      </c>
      <c r="AA224" t="s">
        <v>456</v>
      </c>
      <c r="AB224" t="b">
        <v>0</v>
      </c>
      <c r="AD224" s="2"/>
    </row>
    <row r="225" spans="1:30" x14ac:dyDescent="0.25">
      <c r="A225">
        <v>224</v>
      </c>
      <c r="B225" t="s">
        <v>17</v>
      </c>
      <c r="C225" s="3">
        <v>36737</v>
      </c>
      <c r="D225" s="2">
        <f ca="1">DATEDIF(gym_membership[[#This Row],[birthday]],TODAY(),"y")</f>
        <v>26</v>
      </c>
      <c r="E225">
        <v>24</v>
      </c>
      <c r="F225" t="s">
        <v>22</v>
      </c>
      <c r="G225">
        <v>2</v>
      </c>
      <c r="H225" t="s">
        <v>62</v>
      </c>
      <c r="I225" t="s">
        <v>44</v>
      </c>
      <c r="J225" t="s">
        <v>34</v>
      </c>
      <c r="N225" t="b">
        <v>0</v>
      </c>
      <c r="O225" t="s">
        <v>21</v>
      </c>
      <c r="S225" s="1">
        <v>0.8618055555555556</v>
      </c>
      <c r="T225" s="1">
        <v>0.93680555555555556</v>
      </c>
      <c r="U225">
        <v>108</v>
      </c>
      <c r="V225" t="b">
        <v>0</v>
      </c>
      <c r="W225" t="s">
        <v>21</v>
      </c>
      <c r="Z225" t="b">
        <v>0</v>
      </c>
      <c r="AA225" t="s">
        <v>456</v>
      </c>
      <c r="AB225" t="b">
        <v>0</v>
      </c>
      <c r="AD225" s="2"/>
    </row>
    <row r="226" spans="1:30" x14ac:dyDescent="0.25">
      <c r="A226">
        <v>225</v>
      </c>
      <c r="B226" t="s">
        <v>25</v>
      </c>
      <c r="C226" s="3">
        <v>36799</v>
      </c>
      <c r="D226" s="2">
        <f ca="1">DATEDIF(gym_membership[[#This Row],[birthday]],TODAY(),"y")</f>
        <v>25</v>
      </c>
      <c r="E226">
        <v>24</v>
      </c>
      <c r="F226" t="s">
        <v>22</v>
      </c>
      <c r="G226">
        <v>3</v>
      </c>
      <c r="H226" t="s">
        <v>150</v>
      </c>
      <c r="I226" t="s">
        <v>44</v>
      </c>
      <c r="J226" t="s">
        <v>34</v>
      </c>
      <c r="K226" t="s">
        <v>94</v>
      </c>
      <c r="N226" t="b">
        <v>0</v>
      </c>
      <c r="O226" t="s">
        <v>21</v>
      </c>
      <c r="S226" s="1">
        <v>0.83888888888888891</v>
      </c>
      <c r="T226" s="1">
        <v>0.94722222222222219</v>
      </c>
      <c r="U226">
        <v>156</v>
      </c>
      <c r="V226" t="b">
        <v>1</v>
      </c>
      <c r="W226" t="s">
        <v>59</v>
      </c>
      <c r="X226" t="s">
        <v>59</v>
      </c>
      <c r="Z226" t="b">
        <v>0</v>
      </c>
      <c r="AA226" t="s">
        <v>456</v>
      </c>
      <c r="AB226" t="b">
        <v>0</v>
      </c>
      <c r="AD226" s="2"/>
    </row>
    <row r="227" spans="1:30" x14ac:dyDescent="0.25">
      <c r="A227">
        <v>226</v>
      </c>
      <c r="B227" t="s">
        <v>25</v>
      </c>
      <c r="C227" s="3">
        <v>34180</v>
      </c>
      <c r="D227" s="2">
        <f ca="1">DATEDIF(gym_membership[[#This Row],[birthday]],TODAY(),"y")</f>
        <v>33</v>
      </c>
      <c r="E227">
        <v>31</v>
      </c>
      <c r="F227" t="s">
        <v>22</v>
      </c>
      <c r="G227">
        <v>1</v>
      </c>
      <c r="H227" t="s">
        <v>95</v>
      </c>
      <c r="I227" t="s">
        <v>95</v>
      </c>
      <c r="N227" t="b">
        <v>0</v>
      </c>
      <c r="O227" t="s">
        <v>21</v>
      </c>
      <c r="S227" s="1">
        <v>0.62569444444444444</v>
      </c>
      <c r="T227" s="1">
        <v>0.73819444444444449</v>
      </c>
      <c r="U227">
        <v>162</v>
      </c>
      <c r="V227" t="b">
        <v>0</v>
      </c>
      <c r="W227" t="s">
        <v>21</v>
      </c>
      <c r="Z227" t="b">
        <v>0</v>
      </c>
      <c r="AA227" t="s">
        <v>456</v>
      </c>
      <c r="AB227" t="b">
        <v>0</v>
      </c>
      <c r="AD227" s="2"/>
    </row>
    <row r="228" spans="1:30" x14ac:dyDescent="0.25">
      <c r="A228">
        <v>227</v>
      </c>
      <c r="B228" t="s">
        <v>17</v>
      </c>
      <c r="C228" s="3">
        <v>28034</v>
      </c>
      <c r="D228" s="2">
        <f ca="1">DATEDIF(gym_membership[[#This Row],[birthday]],TODAY(),"y")</f>
        <v>49</v>
      </c>
      <c r="E228">
        <v>48</v>
      </c>
      <c r="F228" t="s">
        <v>18</v>
      </c>
      <c r="G228">
        <v>3</v>
      </c>
      <c r="H228" t="s">
        <v>214</v>
      </c>
      <c r="I228" t="s">
        <v>34</v>
      </c>
      <c r="J228" t="s">
        <v>26</v>
      </c>
      <c r="K228" t="s">
        <v>57</v>
      </c>
      <c r="N228" t="b">
        <v>1</v>
      </c>
      <c r="O228" t="s">
        <v>215</v>
      </c>
      <c r="P228" t="s">
        <v>27</v>
      </c>
      <c r="Q228" t="s">
        <v>41</v>
      </c>
      <c r="S228" s="1">
        <v>0.85902777777777772</v>
      </c>
      <c r="T228" s="1">
        <v>0.90833333333333333</v>
      </c>
      <c r="U228">
        <v>71</v>
      </c>
      <c r="V228" t="b">
        <v>0</v>
      </c>
      <c r="W228" t="s">
        <v>21</v>
      </c>
      <c r="Z228" t="b">
        <v>1</v>
      </c>
      <c r="AA228" t="s">
        <v>43</v>
      </c>
      <c r="AB228" t="b">
        <v>1</v>
      </c>
      <c r="AD228" s="2"/>
    </row>
    <row r="229" spans="1:30" x14ac:dyDescent="0.25">
      <c r="A229">
        <v>228</v>
      </c>
      <c r="B229" t="s">
        <v>25</v>
      </c>
      <c r="C229" s="3">
        <v>39146</v>
      </c>
      <c r="D229" s="2">
        <f ca="1">DATEDIF(gym_membership[[#This Row],[birthday]],TODAY(),"y")</f>
        <v>19</v>
      </c>
      <c r="E229">
        <v>17</v>
      </c>
      <c r="F229" t="s">
        <v>18</v>
      </c>
      <c r="G229">
        <v>1</v>
      </c>
      <c r="H229" t="s">
        <v>34</v>
      </c>
      <c r="I229" t="s">
        <v>34</v>
      </c>
      <c r="N229" t="b">
        <v>1</v>
      </c>
      <c r="O229" t="s">
        <v>216</v>
      </c>
      <c r="P229" t="s">
        <v>100</v>
      </c>
      <c r="Q229" t="s">
        <v>67</v>
      </c>
      <c r="S229" s="1">
        <v>0.79513888888888884</v>
      </c>
      <c r="T229" s="1">
        <v>0.91319444444444442</v>
      </c>
      <c r="U229">
        <v>170</v>
      </c>
      <c r="V229" t="b">
        <v>1</v>
      </c>
      <c r="W229" t="s">
        <v>217</v>
      </c>
      <c r="X229" t="s">
        <v>76</v>
      </c>
      <c r="Y229" t="s">
        <v>59</v>
      </c>
      <c r="Z229" t="b">
        <v>1</v>
      </c>
      <c r="AA229" t="s">
        <v>24</v>
      </c>
      <c r="AB229" t="b">
        <v>0</v>
      </c>
      <c r="AD229" s="2"/>
    </row>
    <row r="230" spans="1:30" x14ac:dyDescent="0.25">
      <c r="A230">
        <v>229</v>
      </c>
      <c r="B230" t="s">
        <v>25</v>
      </c>
      <c r="C230" s="3">
        <v>34054</v>
      </c>
      <c r="D230" s="2">
        <f ca="1">DATEDIF(gym_membership[[#This Row],[birthday]],TODAY(),"y")</f>
        <v>33</v>
      </c>
      <c r="E230">
        <v>31</v>
      </c>
      <c r="F230" t="s">
        <v>18</v>
      </c>
      <c r="G230">
        <v>5</v>
      </c>
      <c r="H230" t="s">
        <v>159</v>
      </c>
      <c r="I230" t="s">
        <v>26</v>
      </c>
      <c r="J230" t="s">
        <v>94</v>
      </c>
      <c r="K230" t="s">
        <v>95</v>
      </c>
      <c r="L230" t="s">
        <v>57</v>
      </c>
      <c r="M230" t="s">
        <v>77</v>
      </c>
      <c r="N230" t="b">
        <v>0</v>
      </c>
      <c r="O230" t="s">
        <v>21</v>
      </c>
      <c r="S230" s="1">
        <v>0.86041666666666672</v>
      </c>
      <c r="T230" s="1">
        <v>0.89930555555555558</v>
      </c>
      <c r="U230">
        <v>56</v>
      </c>
      <c r="V230" t="b">
        <v>0</v>
      </c>
      <c r="W230" t="s">
        <v>21</v>
      </c>
      <c r="Z230" t="b">
        <v>0</v>
      </c>
      <c r="AA230" t="s">
        <v>456</v>
      </c>
      <c r="AB230" t="b">
        <v>0</v>
      </c>
      <c r="AD230" s="2"/>
    </row>
    <row r="231" spans="1:30" x14ac:dyDescent="0.25">
      <c r="A231">
        <v>230</v>
      </c>
      <c r="B231" t="s">
        <v>25</v>
      </c>
      <c r="C231" s="3">
        <v>37186</v>
      </c>
      <c r="D231" s="2">
        <f ca="1">DATEDIF(gym_membership[[#This Row],[birthday]],TODAY(),"y")</f>
        <v>24</v>
      </c>
      <c r="E231">
        <v>22</v>
      </c>
      <c r="F231" t="s">
        <v>22</v>
      </c>
      <c r="G231">
        <v>3</v>
      </c>
      <c r="H231" t="s">
        <v>71</v>
      </c>
      <c r="I231" t="s">
        <v>44</v>
      </c>
      <c r="J231" t="s">
        <v>94</v>
      </c>
      <c r="K231" t="s">
        <v>77</v>
      </c>
      <c r="N231" t="b">
        <v>1</v>
      </c>
      <c r="O231" t="s">
        <v>103</v>
      </c>
      <c r="P231" t="s">
        <v>103</v>
      </c>
      <c r="S231" s="1">
        <v>0.68819444444444444</v>
      </c>
      <c r="T231" s="1">
        <v>0.77708333333333335</v>
      </c>
      <c r="U231">
        <v>128</v>
      </c>
      <c r="V231" t="b">
        <v>0</v>
      </c>
      <c r="W231" t="s">
        <v>21</v>
      </c>
      <c r="Z231" t="b">
        <v>0</v>
      </c>
      <c r="AA231" t="s">
        <v>456</v>
      </c>
      <c r="AB231" t="b">
        <v>0</v>
      </c>
      <c r="AD231" s="2"/>
    </row>
    <row r="232" spans="1:30" x14ac:dyDescent="0.25">
      <c r="A232">
        <v>231</v>
      </c>
      <c r="B232" t="s">
        <v>25</v>
      </c>
      <c r="C232" s="3">
        <v>31739</v>
      </c>
      <c r="D232" s="2">
        <f ca="1">DATEDIF(gym_membership[[#This Row],[birthday]],TODAY(),"y")</f>
        <v>39</v>
      </c>
      <c r="E232">
        <v>37</v>
      </c>
      <c r="F232" t="s">
        <v>18</v>
      </c>
      <c r="G232">
        <v>3</v>
      </c>
      <c r="H232" t="s">
        <v>55</v>
      </c>
      <c r="I232" t="s">
        <v>44</v>
      </c>
      <c r="J232" t="s">
        <v>26</v>
      </c>
      <c r="K232" t="s">
        <v>94</v>
      </c>
      <c r="N232" t="b">
        <v>0</v>
      </c>
      <c r="O232" t="s">
        <v>21</v>
      </c>
      <c r="S232" s="1">
        <v>0.74513888888888891</v>
      </c>
      <c r="T232" s="1">
        <v>0.84305555555555556</v>
      </c>
      <c r="U232">
        <v>141</v>
      </c>
      <c r="V232" t="b">
        <v>0</v>
      </c>
      <c r="W232" t="s">
        <v>21</v>
      </c>
      <c r="Z232" t="b">
        <v>0</v>
      </c>
      <c r="AA232" t="s">
        <v>456</v>
      </c>
      <c r="AB232" t="b">
        <v>1</v>
      </c>
      <c r="AD232" s="2"/>
    </row>
    <row r="233" spans="1:30" x14ac:dyDescent="0.25">
      <c r="A233">
        <v>232</v>
      </c>
      <c r="B233" t="s">
        <v>25</v>
      </c>
      <c r="C233" s="3">
        <v>31283</v>
      </c>
      <c r="D233" s="2">
        <f ca="1">DATEDIF(gym_membership[[#This Row],[birthday]],TODAY(),"y")</f>
        <v>41</v>
      </c>
      <c r="E233">
        <v>39</v>
      </c>
      <c r="F233" t="s">
        <v>22</v>
      </c>
      <c r="G233">
        <v>5</v>
      </c>
      <c r="H233" t="s">
        <v>168</v>
      </c>
      <c r="I233" t="s">
        <v>44</v>
      </c>
      <c r="J233" t="s">
        <v>34</v>
      </c>
      <c r="K233" t="s">
        <v>26</v>
      </c>
      <c r="L233" t="s">
        <v>95</v>
      </c>
      <c r="M233" t="s">
        <v>77</v>
      </c>
      <c r="N233" t="b">
        <v>1</v>
      </c>
      <c r="O233" t="s">
        <v>218</v>
      </c>
      <c r="P233" t="s">
        <v>27</v>
      </c>
      <c r="Q233" t="s">
        <v>58</v>
      </c>
      <c r="S233" s="1">
        <v>0.63611111111111107</v>
      </c>
      <c r="T233" s="1">
        <v>0.71875</v>
      </c>
      <c r="U233">
        <v>119</v>
      </c>
      <c r="V233" t="b">
        <v>1</v>
      </c>
      <c r="W233" t="s">
        <v>65</v>
      </c>
      <c r="X233" t="s">
        <v>65</v>
      </c>
      <c r="Z233" t="b">
        <v>1</v>
      </c>
      <c r="AA233" t="s">
        <v>29</v>
      </c>
      <c r="AB233" t="b">
        <v>0</v>
      </c>
      <c r="AD233" s="2"/>
    </row>
    <row r="234" spans="1:30" x14ac:dyDescent="0.25">
      <c r="A234">
        <v>233</v>
      </c>
      <c r="B234" t="s">
        <v>17</v>
      </c>
      <c r="C234" s="3">
        <v>40450</v>
      </c>
      <c r="D234" s="2">
        <f ca="1">DATEDIF(gym_membership[[#This Row],[birthday]],TODAY(),"y")</f>
        <v>15</v>
      </c>
      <c r="E234">
        <v>14</v>
      </c>
      <c r="F234" t="s">
        <v>22</v>
      </c>
      <c r="G234">
        <v>3</v>
      </c>
      <c r="H234" t="s">
        <v>84</v>
      </c>
      <c r="I234" t="s">
        <v>26</v>
      </c>
      <c r="J234" t="s">
        <v>94</v>
      </c>
      <c r="K234" t="s">
        <v>57</v>
      </c>
      <c r="N234" t="b">
        <v>0</v>
      </c>
      <c r="O234" t="s">
        <v>21</v>
      </c>
      <c r="S234" s="1">
        <v>0.35694444444444445</v>
      </c>
      <c r="T234" s="1">
        <v>0.45069444444444445</v>
      </c>
      <c r="U234">
        <v>135</v>
      </c>
      <c r="V234" t="b">
        <v>0</v>
      </c>
      <c r="W234" t="s">
        <v>21</v>
      </c>
      <c r="Z234" t="b">
        <v>0</v>
      </c>
      <c r="AA234" t="s">
        <v>456</v>
      </c>
      <c r="AB234" t="b">
        <v>1</v>
      </c>
      <c r="AD234" s="2"/>
    </row>
    <row r="235" spans="1:30" x14ac:dyDescent="0.25">
      <c r="A235">
        <v>234</v>
      </c>
      <c r="B235" t="s">
        <v>17</v>
      </c>
      <c r="C235" s="3">
        <v>38605</v>
      </c>
      <c r="D235" s="2">
        <f ca="1">DATEDIF(gym_membership[[#This Row],[birthday]],TODAY(),"y")</f>
        <v>20</v>
      </c>
      <c r="E235">
        <v>19</v>
      </c>
      <c r="F235" t="s">
        <v>22</v>
      </c>
      <c r="G235">
        <v>1</v>
      </c>
      <c r="H235" t="s">
        <v>94</v>
      </c>
      <c r="I235" t="s">
        <v>94</v>
      </c>
      <c r="N235" t="b">
        <v>0</v>
      </c>
      <c r="O235" t="s">
        <v>21</v>
      </c>
      <c r="S235" s="1">
        <v>0.85138888888888886</v>
      </c>
      <c r="T235" s="1">
        <v>0.90625</v>
      </c>
      <c r="U235">
        <v>79</v>
      </c>
      <c r="V235" t="b">
        <v>0</v>
      </c>
      <c r="W235" t="s">
        <v>21</v>
      </c>
      <c r="Z235" t="b">
        <v>0</v>
      </c>
      <c r="AA235" t="s">
        <v>456</v>
      </c>
      <c r="AB235" t="b">
        <v>1</v>
      </c>
      <c r="AD235" s="2"/>
    </row>
    <row r="236" spans="1:30" x14ac:dyDescent="0.25">
      <c r="A236">
        <v>235</v>
      </c>
      <c r="B236" t="s">
        <v>17</v>
      </c>
      <c r="C236" s="3">
        <v>35632</v>
      </c>
      <c r="D236" s="2">
        <f ca="1">DATEDIF(gym_membership[[#This Row],[birthday]],TODAY(),"y")</f>
        <v>29</v>
      </c>
      <c r="E236">
        <v>27</v>
      </c>
      <c r="F236" t="s">
        <v>22</v>
      </c>
      <c r="G236">
        <v>4</v>
      </c>
      <c r="H236" t="s">
        <v>219</v>
      </c>
      <c r="I236" t="s">
        <v>94</v>
      </c>
      <c r="J236" t="s">
        <v>95</v>
      </c>
      <c r="K236" t="s">
        <v>57</v>
      </c>
      <c r="L236" t="s">
        <v>77</v>
      </c>
      <c r="N236" t="b">
        <v>0</v>
      </c>
      <c r="O236" t="s">
        <v>21</v>
      </c>
      <c r="S236" s="1">
        <v>0.49236111111111114</v>
      </c>
      <c r="T236" s="1">
        <v>0.60069444444444442</v>
      </c>
      <c r="U236">
        <v>156</v>
      </c>
      <c r="V236" t="b">
        <v>1</v>
      </c>
      <c r="W236" t="s">
        <v>163</v>
      </c>
      <c r="X236" t="s">
        <v>65</v>
      </c>
      <c r="Y236" t="s">
        <v>51</v>
      </c>
      <c r="Z236" t="b">
        <v>1</v>
      </c>
      <c r="AA236" t="s">
        <v>45</v>
      </c>
      <c r="AB236" t="b">
        <v>0</v>
      </c>
      <c r="AD236" s="2"/>
    </row>
    <row r="237" spans="1:30" x14ac:dyDescent="0.25">
      <c r="A237">
        <v>236</v>
      </c>
      <c r="B237" t="s">
        <v>17</v>
      </c>
      <c r="C237" s="3">
        <v>32606</v>
      </c>
      <c r="D237" s="2">
        <f ca="1">DATEDIF(gym_membership[[#This Row],[birthday]],TODAY(),"y")</f>
        <v>37</v>
      </c>
      <c r="E237">
        <v>35</v>
      </c>
      <c r="F237" t="s">
        <v>22</v>
      </c>
      <c r="G237">
        <v>5</v>
      </c>
      <c r="H237" t="s">
        <v>135</v>
      </c>
      <c r="I237" t="s">
        <v>44</v>
      </c>
      <c r="J237" t="s">
        <v>26</v>
      </c>
      <c r="K237" t="s">
        <v>95</v>
      </c>
      <c r="L237" t="s">
        <v>57</v>
      </c>
      <c r="M237" t="s">
        <v>77</v>
      </c>
      <c r="N237" t="b">
        <v>1</v>
      </c>
      <c r="O237" t="s">
        <v>41</v>
      </c>
      <c r="P237" t="s">
        <v>41</v>
      </c>
      <c r="S237" s="1">
        <v>0.65625</v>
      </c>
      <c r="T237" s="1">
        <v>0.77986111111111112</v>
      </c>
      <c r="U237">
        <v>178</v>
      </c>
      <c r="V237" t="b">
        <v>0</v>
      </c>
      <c r="W237" t="s">
        <v>21</v>
      </c>
      <c r="Z237" t="b">
        <v>0</v>
      </c>
      <c r="AA237" t="s">
        <v>456</v>
      </c>
      <c r="AB237" t="b">
        <v>0</v>
      </c>
      <c r="AD237" s="2"/>
    </row>
    <row r="238" spans="1:30" x14ac:dyDescent="0.25">
      <c r="A238">
        <v>237</v>
      </c>
      <c r="B238" t="s">
        <v>17</v>
      </c>
      <c r="C238" s="3">
        <v>38361</v>
      </c>
      <c r="D238" s="2">
        <f ca="1">DATEDIF(gym_membership[[#This Row],[birthday]],TODAY(),"y")</f>
        <v>21</v>
      </c>
      <c r="E238">
        <v>19</v>
      </c>
      <c r="F238" t="s">
        <v>18</v>
      </c>
      <c r="G238">
        <v>2</v>
      </c>
      <c r="H238" t="s">
        <v>98</v>
      </c>
      <c r="I238" t="s">
        <v>57</v>
      </c>
      <c r="J238" t="s">
        <v>77</v>
      </c>
      <c r="N238" t="b">
        <v>1</v>
      </c>
      <c r="O238" t="s">
        <v>100</v>
      </c>
      <c r="P238" t="s">
        <v>100</v>
      </c>
      <c r="S238" s="1">
        <v>0.43888888888888888</v>
      </c>
      <c r="T238" s="1">
        <v>0.50208333333333333</v>
      </c>
      <c r="U238">
        <v>91</v>
      </c>
      <c r="V238" t="b">
        <v>1</v>
      </c>
      <c r="W238" t="s">
        <v>39</v>
      </c>
      <c r="X238" t="s">
        <v>39</v>
      </c>
      <c r="Z238" t="b">
        <v>1</v>
      </c>
      <c r="AA238" t="s">
        <v>43</v>
      </c>
      <c r="AB238" t="b">
        <v>1</v>
      </c>
      <c r="AD238" s="2"/>
    </row>
    <row r="239" spans="1:30" x14ac:dyDescent="0.25">
      <c r="A239">
        <v>238</v>
      </c>
      <c r="B239" t="s">
        <v>17</v>
      </c>
      <c r="C239" s="3">
        <v>37797</v>
      </c>
      <c r="D239" s="2">
        <f ca="1">DATEDIF(gym_membership[[#This Row],[birthday]],TODAY(),"y")</f>
        <v>23</v>
      </c>
      <c r="E239">
        <v>21</v>
      </c>
      <c r="F239" t="s">
        <v>18</v>
      </c>
      <c r="G239">
        <v>5</v>
      </c>
      <c r="H239" t="s">
        <v>220</v>
      </c>
      <c r="I239" t="s">
        <v>44</v>
      </c>
      <c r="J239" t="s">
        <v>34</v>
      </c>
      <c r="K239" t="s">
        <v>26</v>
      </c>
      <c r="L239" t="s">
        <v>94</v>
      </c>
      <c r="M239" t="s">
        <v>95</v>
      </c>
      <c r="N239" t="b">
        <v>1</v>
      </c>
      <c r="O239" t="s">
        <v>221</v>
      </c>
      <c r="P239" t="s">
        <v>58</v>
      </c>
      <c r="Q239" t="s">
        <v>41</v>
      </c>
      <c r="R239" t="s">
        <v>96</v>
      </c>
      <c r="S239" s="1">
        <v>0.84375</v>
      </c>
      <c r="T239" s="1">
        <v>0.96805555555555556</v>
      </c>
      <c r="U239">
        <v>179</v>
      </c>
      <c r="V239" t="b">
        <v>1</v>
      </c>
      <c r="W239" t="s">
        <v>97</v>
      </c>
      <c r="X239" t="s">
        <v>39</v>
      </c>
      <c r="Y239" t="s">
        <v>31</v>
      </c>
      <c r="Z239" t="b">
        <v>0</v>
      </c>
      <c r="AA239" t="s">
        <v>456</v>
      </c>
      <c r="AB239" t="b">
        <v>1</v>
      </c>
      <c r="AD239" s="2"/>
    </row>
    <row r="240" spans="1:30" x14ac:dyDescent="0.25">
      <c r="A240">
        <v>239</v>
      </c>
      <c r="B240" t="s">
        <v>25</v>
      </c>
      <c r="C240" s="3">
        <v>37921</v>
      </c>
      <c r="D240" s="2">
        <f ca="1">DATEDIF(gym_membership[[#This Row],[birthday]],TODAY(),"y")</f>
        <v>22</v>
      </c>
      <c r="E240">
        <v>20</v>
      </c>
      <c r="F240" t="s">
        <v>22</v>
      </c>
      <c r="G240">
        <v>3</v>
      </c>
      <c r="H240" t="s">
        <v>78</v>
      </c>
      <c r="I240" t="s">
        <v>44</v>
      </c>
      <c r="J240" t="s">
        <v>34</v>
      </c>
      <c r="K240" t="s">
        <v>95</v>
      </c>
      <c r="N240" t="b">
        <v>1</v>
      </c>
      <c r="O240" t="s">
        <v>222</v>
      </c>
      <c r="P240" t="s">
        <v>72</v>
      </c>
      <c r="Q240" t="s">
        <v>103</v>
      </c>
      <c r="R240" t="s">
        <v>58</v>
      </c>
      <c r="S240" s="1">
        <v>0.72916666666666663</v>
      </c>
      <c r="T240" s="1">
        <v>0.80347222222222225</v>
      </c>
      <c r="U240">
        <v>107</v>
      </c>
      <c r="V240" t="b">
        <v>0</v>
      </c>
      <c r="W240" t="s">
        <v>21</v>
      </c>
      <c r="Z240" t="b">
        <v>1</v>
      </c>
      <c r="AA240" t="s">
        <v>43</v>
      </c>
      <c r="AB240" t="b">
        <v>1</v>
      </c>
      <c r="AD240" s="2"/>
    </row>
    <row r="241" spans="1:30" x14ac:dyDescent="0.25">
      <c r="A241">
        <v>240</v>
      </c>
      <c r="B241" t="s">
        <v>25</v>
      </c>
      <c r="C241" s="3">
        <v>38355</v>
      </c>
      <c r="D241" s="2">
        <f ca="1">DATEDIF(gym_membership[[#This Row],[birthday]],TODAY(),"y")</f>
        <v>21</v>
      </c>
      <c r="E241">
        <v>19</v>
      </c>
      <c r="F241" t="s">
        <v>18</v>
      </c>
      <c r="G241">
        <v>4</v>
      </c>
      <c r="H241" t="s">
        <v>223</v>
      </c>
      <c r="I241" t="s">
        <v>26</v>
      </c>
      <c r="J241" t="s">
        <v>94</v>
      </c>
      <c r="K241" t="s">
        <v>57</v>
      </c>
      <c r="L241" t="s">
        <v>77</v>
      </c>
      <c r="N241" t="b">
        <v>1</v>
      </c>
      <c r="O241" t="s">
        <v>224</v>
      </c>
      <c r="P241" t="s">
        <v>120</v>
      </c>
      <c r="Q241" t="s">
        <v>128</v>
      </c>
      <c r="S241" s="1">
        <v>0.65902777777777777</v>
      </c>
      <c r="T241" s="1">
        <v>0.71527777777777779</v>
      </c>
      <c r="U241">
        <v>81</v>
      </c>
      <c r="V241" t="b">
        <v>1</v>
      </c>
      <c r="W241" t="s">
        <v>31</v>
      </c>
      <c r="X241" t="s">
        <v>31</v>
      </c>
      <c r="Z241" t="b">
        <v>0</v>
      </c>
      <c r="AA241" t="s">
        <v>456</v>
      </c>
      <c r="AB241" t="b">
        <v>0</v>
      </c>
      <c r="AD241" s="2"/>
    </row>
    <row r="242" spans="1:30" x14ac:dyDescent="0.25">
      <c r="A242">
        <v>241</v>
      </c>
      <c r="B242" t="s">
        <v>17</v>
      </c>
      <c r="C242" s="3">
        <v>29890</v>
      </c>
      <c r="D242" s="2">
        <f ca="1">DATEDIF(gym_membership[[#This Row],[birthday]],TODAY(),"y")</f>
        <v>44</v>
      </c>
      <c r="E242">
        <v>42</v>
      </c>
      <c r="F242" t="s">
        <v>18</v>
      </c>
      <c r="G242">
        <v>2</v>
      </c>
      <c r="H242" t="s">
        <v>37</v>
      </c>
      <c r="I242" t="s">
        <v>34</v>
      </c>
      <c r="J242" t="s">
        <v>77</v>
      </c>
      <c r="N242" t="b">
        <v>0</v>
      </c>
      <c r="O242" t="s">
        <v>21</v>
      </c>
      <c r="S242" s="1">
        <v>0.46041666666666664</v>
      </c>
      <c r="T242" s="1">
        <v>0.56527777777777777</v>
      </c>
      <c r="U242">
        <v>151</v>
      </c>
      <c r="V242" t="b">
        <v>1</v>
      </c>
      <c r="W242" t="s">
        <v>31</v>
      </c>
      <c r="X242" t="s">
        <v>31</v>
      </c>
      <c r="Z242" t="b">
        <v>1</v>
      </c>
      <c r="AA242" t="s">
        <v>45</v>
      </c>
      <c r="AB242" t="b">
        <v>0</v>
      </c>
      <c r="AD242" s="2"/>
    </row>
    <row r="243" spans="1:30" x14ac:dyDescent="0.25">
      <c r="A243">
        <v>242</v>
      </c>
      <c r="B243" t="s">
        <v>25</v>
      </c>
      <c r="C243" s="3">
        <v>38931</v>
      </c>
      <c r="D243" s="2">
        <f ca="1">DATEDIF(gym_membership[[#This Row],[birthday]],TODAY(),"y")</f>
        <v>20</v>
      </c>
      <c r="E243">
        <v>18</v>
      </c>
      <c r="F243" t="s">
        <v>18</v>
      </c>
      <c r="G243">
        <v>1</v>
      </c>
      <c r="H243" t="s">
        <v>77</v>
      </c>
      <c r="I243" t="s">
        <v>77</v>
      </c>
      <c r="N243" t="b">
        <v>0</v>
      </c>
      <c r="O243" t="s">
        <v>21</v>
      </c>
      <c r="S243" s="1">
        <v>0.73472222222222228</v>
      </c>
      <c r="T243" s="1">
        <v>0.75694444444444442</v>
      </c>
      <c r="U243">
        <v>32</v>
      </c>
      <c r="V243" t="b">
        <v>0</v>
      </c>
      <c r="W243" t="s">
        <v>21</v>
      </c>
      <c r="Z243" t="b">
        <v>1</v>
      </c>
      <c r="AA243" t="s">
        <v>29</v>
      </c>
      <c r="AB243" t="b">
        <v>1</v>
      </c>
      <c r="AD243" s="2"/>
    </row>
    <row r="244" spans="1:30" x14ac:dyDescent="0.25">
      <c r="A244">
        <v>243</v>
      </c>
      <c r="B244" t="s">
        <v>17</v>
      </c>
      <c r="C244" s="3">
        <v>27622</v>
      </c>
      <c r="D244" s="2">
        <f ca="1">DATEDIF(gym_membership[[#This Row],[birthday]],TODAY(),"y")</f>
        <v>51</v>
      </c>
      <c r="E244">
        <v>49</v>
      </c>
      <c r="F244" t="s">
        <v>18</v>
      </c>
      <c r="G244">
        <v>1</v>
      </c>
      <c r="H244" t="s">
        <v>94</v>
      </c>
      <c r="I244" t="s">
        <v>94</v>
      </c>
      <c r="N244" t="b">
        <v>0</v>
      </c>
      <c r="O244" t="s">
        <v>21</v>
      </c>
      <c r="S244" s="1">
        <v>0.58194444444444449</v>
      </c>
      <c r="T244" s="1">
        <v>0.60763888888888884</v>
      </c>
      <c r="U244">
        <v>37</v>
      </c>
      <c r="V244" t="b">
        <v>1</v>
      </c>
      <c r="W244" t="s">
        <v>76</v>
      </c>
      <c r="X244" t="s">
        <v>76</v>
      </c>
      <c r="Z244" t="b">
        <v>1</v>
      </c>
      <c r="AA244" t="s">
        <v>29</v>
      </c>
      <c r="AB244" t="b">
        <v>0</v>
      </c>
      <c r="AD244" s="2"/>
    </row>
    <row r="245" spans="1:30" x14ac:dyDescent="0.25">
      <c r="A245">
        <v>244</v>
      </c>
      <c r="B245" t="s">
        <v>17</v>
      </c>
      <c r="C245" s="3">
        <v>39366</v>
      </c>
      <c r="D245" s="2">
        <f ca="1">DATEDIF(gym_membership[[#This Row],[birthday]],TODAY(),"y")</f>
        <v>18</v>
      </c>
      <c r="E245">
        <v>17</v>
      </c>
      <c r="F245" t="s">
        <v>18</v>
      </c>
      <c r="G245">
        <v>5</v>
      </c>
      <c r="H245" t="s">
        <v>82</v>
      </c>
      <c r="I245" t="s">
        <v>44</v>
      </c>
      <c r="J245" t="s">
        <v>34</v>
      </c>
      <c r="K245" t="s">
        <v>26</v>
      </c>
      <c r="L245" t="s">
        <v>94</v>
      </c>
      <c r="M245" t="s">
        <v>77</v>
      </c>
      <c r="N245" t="b">
        <v>1</v>
      </c>
      <c r="O245" t="s">
        <v>103</v>
      </c>
      <c r="P245" t="s">
        <v>103</v>
      </c>
      <c r="S245" s="1">
        <v>0.57638888888888884</v>
      </c>
      <c r="T245" s="1">
        <v>0.60347222222222219</v>
      </c>
      <c r="U245">
        <v>39</v>
      </c>
      <c r="V245" t="b">
        <v>1</v>
      </c>
      <c r="W245" t="s">
        <v>65</v>
      </c>
      <c r="X245" t="s">
        <v>65</v>
      </c>
      <c r="Z245" t="b">
        <v>1</v>
      </c>
      <c r="AA245" t="s">
        <v>45</v>
      </c>
      <c r="AB245" t="b">
        <v>1</v>
      </c>
      <c r="AD245" s="2"/>
    </row>
    <row r="246" spans="1:30" x14ac:dyDescent="0.25">
      <c r="A246">
        <v>245</v>
      </c>
      <c r="B246" t="s">
        <v>25</v>
      </c>
      <c r="C246" s="3">
        <v>35648</v>
      </c>
      <c r="D246" s="2">
        <f ca="1">DATEDIF(gym_membership[[#This Row],[birthday]],TODAY(),"y")</f>
        <v>29</v>
      </c>
      <c r="E246">
        <v>27</v>
      </c>
      <c r="F246" t="s">
        <v>22</v>
      </c>
      <c r="G246">
        <v>1</v>
      </c>
      <c r="H246" t="s">
        <v>34</v>
      </c>
      <c r="I246" t="s">
        <v>34</v>
      </c>
      <c r="N246" t="b">
        <v>1</v>
      </c>
      <c r="O246" t="s">
        <v>20</v>
      </c>
      <c r="P246" t="s">
        <v>120</v>
      </c>
      <c r="Q246" t="s">
        <v>41</v>
      </c>
      <c r="R246" t="s">
        <v>72</v>
      </c>
      <c r="S246" s="1">
        <v>0.50763888888888886</v>
      </c>
      <c r="T246" s="1">
        <v>0.61944444444444446</v>
      </c>
      <c r="U246">
        <v>161</v>
      </c>
      <c r="V246" t="b">
        <v>0</v>
      </c>
      <c r="W246" t="s">
        <v>21</v>
      </c>
      <c r="Z246" t="b">
        <v>1</v>
      </c>
      <c r="AA246" t="s">
        <v>43</v>
      </c>
      <c r="AB246" t="b">
        <v>0</v>
      </c>
      <c r="AD246" s="2"/>
    </row>
    <row r="247" spans="1:30" x14ac:dyDescent="0.25">
      <c r="A247">
        <v>246</v>
      </c>
      <c r="B247" t="s">
        <v>17</v>
      </c>
      <c r="C247" s="3">
        <v>36786</v>
      </c>
      <c r="D247" s="2">
        <f ca="1">DATEDIF(gym_membership[[#This Row],[birthday]],TODAY(),"y")</f>
        <v>25</v>
      </c>
      <c r="E247">
        <v>24</v>
      </c>
      <c r="F247" t="s">
        <v>18</v>
      </c>
      <c r="G247">
        <v>4</v>
      </c>
      <c r="H247" t="s">
        <v>219</v>
      </c>
      <c r="I247" t="s">
        <v>94</v>
      </c>
      <c r="J247" t="s">
        <v>95</v>
      </c>
      <c r="K247" t="s">
        <v>57</v>
      </c>
      <c r="L247" t="s">
        <v>77</v>
      </c>
      <c r="N247" t="b">
        <v>0</v>
      </c>
      <c r="O247" t="s">
        <v>21</v>
      </c>
      <c r="S247" s="1">
        <v>0.38333333333333336</v>
      </c>
      <c r="T247" s="1">
        <v>0.47013888888888888</v>
      </c>
      <c r="U247">
        <v>125</v>
      </c>
      <c r="V247" t="b">
        <v>0</v>
      </c>
      <c r="W247" t="s">
        <v>21</v>
      </c>
      <c r="Z247" t="b">
        <v>0</v>
      </c>
      <c r="AA247" t="s">
        <v>456</v>
      </c>
      <c r="AB247" t="b">
        <v>0</v>
      </c>
      <c r="AD247" s="2"/>
    </row>
    <row r="248" spans="1:30" x14ac:dyDescent="0.25">
      <c r="A248">
        <v>247</v>
      </c>
      <c r="B248" t="s">
        <v>25</v>
      </c>
      <c r="C248" s="3">
        <v>31886</v>
      </c>
      <c r="D248" s="2">
        <f ca="1">DATEDIF(gym_membership[[#This Row],[birthday]],TODAY(),"y")</f>
        <v>39</v>
      </c>
      <c r="E248">
        <v>37</v>
      </c>
      <c r="F248" t="s">
        <v>22</v>
      </c>
      <c r="G248">
        <v>4</v>
      </c>
      <c r="H248" t="s">
        <v>225</v>
      </c>
      <c r="I248" t="s">
        <v>44</v>
      </c>
      <c r="J248" t="s">
        <v>26</v>
      </c>
      <c r="K248" t="s">
        <v>95</v>
      </c>
      <c r="L248" t="s">
        <v>77</v>
      </c>
      <c r="N248" t="b">
        <v>1</v>
      </c>
      <c r="O248" t="s">
        <v>226</v>
      </c>
      <c r="P248" t="s">
        <v>96</v>
      </c>
      <c r="Q248" t="s">
        <v>128</v>
      </c>
      <c r="R248" t="s">
        <v>103</v>
      </c>
      <c r="S248" s="1">
        <v>0.78055555555555556</v>
      </c>
      <c r="T248" s="1">
        <v>0.87222222222222223</v>
      </c>
      <c r="U248">
        <v>132</v>
      </c>
      <c r="V248" t="b">
        <v>1</v>
      </c>
      <c r="W248" t="s">
        <v>39</v>
      </c>
      <c r="X248" t="s">
        <v>39</v>
      </c>
      <c r="Z248" t="b">
        <v>0</v>
      </c>
      <c r="AA248" t="s">
        <v>456</v>
      </c>
      <c r="AB248" t="b">
        <v>1</v>
      </c>
      <c r="AD248" s="2"/>
    </row>
    <row r="249" spans="1:30" x14ac:dyDescent="0.25">
      <c r="A249">
        <v>248</v>
      </c>
      <c r="B249" t="s">
        <v>17</v>
      </c>
      <c r="C249" s="3">
        <v>36755</v>
      </c>
      <c r="D249" s="2">
        <f ca="1">DATEDIF(gym_membership[[#This Row],[birthday]],TODAY(),"y")</f>
        <v>26</v>
      </c>
      <c r="E249">
        <v>24</v>
      </c>
      <c r="F249" t="s">
        <v>18</v>
      </c>
      <c r="G249">
        <v>1</v>
      </c>
      <c r="H249" t="s">
        <v>94</v>
      </c>
      <c r="I249" t="s">
        <v>94</v>
      </c>
      <c r="N249" t="b">
        <v>0</v>
      </c>
      <c r="O249" t="s">
        <v>21</v>
      </c>
      <c r="S249" s="1">
        <v>0.62430555555555556</v>
      </c>
      <c r="T249" s="1">
        <v>0.72013888888888888</v>
      </c>
      <c r="U249">
        <v>138</v>
      </c>
      <c r="V249" t="b">
        <v>0</v>
      </c>
      <c r="W249" t="s">
        <v>21</v>
      </c>
      <c r="Z249" t="b">
        <v>1</v>
      </c>
      <c r="AA249" t="s">
        <v>29</v>
      </c>
      <c r="AB249" t="b">
        <v>1</v>
      </c>
      <c r="AD249" s="2"/>
    </row>
    <row r="250" spans="1:30" x14ac:dyDescent="0.25">
      <c r="A250">
        <v>249</v>
      </c>
      <c r="B250" t="s">
        <v>17</v>
      </c>
      <c r="C250" s="3">
        <v>35017</v>
      </c>
      <c r="D250" s="2">
        <f ca="1">DATEDIF(gym_membership[[#This Row],[birthday]],TODAY(),"y")</f>
        <v>30</v>
      </c>
      <c r="E250">
        <v>28</v>
      </c>
      <c r="F250" t="s">
        <v>18</v>
      </c>
      <c r="G250">
        <v>5</v>
      </c>
      <c r="H250" t="s">
        <v>82</v>
      </c>
      <c r="I250" t="s">
        <v>44</v>
      </c>
      <c r="J250" t="s">
        <v>34</v>
      </c>
      <c r="K250" t="s">
        <v>26</v>
      </c>
      <c r="L250" t="s">
        <v>94</v>
      </c>
      <c r="M250" t="s">
        <v>77</v>
      </c>
      <c r="N250" t="b">
        <v>1</v>
      </c>
      <c r="O250" t="s">
        <v>227</v>
      </c>
      <c r="P250" t="s">
        <v>72</v>
      </c>
      <c r="Q250" t="s">
        <v>67</v>
      </c>
      <c r="S250" s="1">
        <v>0.75</v>
      </c>
      <c r="T250" s="1">
        <v>0.8305555555555556</v>
      </c>
      <c r="U250">
        <v>116</v>
      </c>
      <c r="V250" t="b">
        <v>0</v>
      </c>
      <c r="W250" t="s">
        <v>21</v>
      </c>
      <c r="Z250" t="b">
        <v>0</v>
      </c>
      <c r="AA250" t="s">
        <v>456</v>
      </c>
      <c r="AB250" t="b">
        <v>0</v>
      </c>
      <c r="AD250" s="2"/>
    </row>
    <row r="251" spans="1:30" x14ac:dyDescent="0.25">
      <c r="A251">
        <v>250</v>
      </c>
      <c r="B251" t="s">
        <v>25</v>
      </c>
      <c r="C251" s="3">
        <v>38956</v>
      </c>
      <c r="D251" s="2">
        <f ca="1">DATEDIF(gym_membership[[#This Row],[birthday]],TODAY(),"y")</f>
        <v>20</v>
      </c>
      <c r="E251">
        <v>18</v>
      </c>
      <c r="F251" t="s">
        <v>22</v>
      </c>
      <c r="G251">
        <v>3</v>
      </c>
      <c r="H251" t="s">
        <v>150</v>
      </c>
      <c r="I251" t="s">
        <v>44</v>
      </c>
      <c r="J251" t="s">
        <v>34</v>
      </c>
      <c r="K251" t="s">
        <v>94</v>
      </c>
      <c r="N251" t="b">
        <v>0</v>
      </c>
      <c r="O251" t="s">
        <v>21</v>
      </c>
      <c r="S251" s="1">
        <v>0.55972222222222223</v>
      </c>
      <c r="T251" s="1">
        <v>0.67708333333333337</v>
      </c>
      <c r="U251">
        <v>169</v>
      </c>
      <c r="V251" t="b">
        <v>0</v>
      </c>
      <c r="W251" t="s">
        <v>21</v>
      </c>
      <c r="Z251" t="b">
        <v>0</v>
      </c>
      <c r="AA251" t="s">
        <v>456</v>
      </c>
      <c r="AB251" t="b">
        <v>0</v>
      </c>
      <c r="AD251" s="2"/>
    </row>
    <row r="252" spans="1:30" x14ac:dyDescent="0.25">
      <c r="A252">
        <v>251</v>
      </c>
      <c r="B252" t="s">
        <v>25</v>
      </c>
      <c r="C252" s="3">
        <v>38889</v>
      </c>
      <c r="D252" s="2">
        <f ca="1">DATEDIF(gym_membership[[#This Row],[birthday]],TODAY(),"y")</f>
        <v>20</v>
      </c>
      <c r="E252">
        <v>18</v>
      </c>
      <c r="F252" t="s">
        <v>22</v>
      </c>
      <c r="G252">
        <v>2</v>
      </c>
      <c r="H252" t="s">
        <v>228</v>
      </c>
      <c r="I252" t="s">
        <v>44</v>
      </c>
      <c r="J252" t="s">
        <v>95</v>
      </c>
      <c r="N252" t="b">
        <v>1</v>
      </c>
      <c r="O252" t="s">
        <v>229</v>
      </c>
      <c r="P252" t="s">
        <v>103</v>
      </c>
      <c r="Q252" t="s">
        <v>58</v>
      </c>
      <c r="R252" t="s">
        <v>41</v>
      </c>
      <c r="S252" s="1">
        <v>0.33680555555555558</v>
      </c>
      <c r="T252" s="1">
        <v>0.39097222222222222</v>
      </c>
      <c r="U252">
        <v>78</v>
      </c>
      <c r="V252" t="b">
        <v>1</v>
      </c>
      <c r="W252" t="s">
        <v>51</v>
      </c>
      <c r="X252" t="s">
        <v>51</v>
      </c>
      <c r="Z252" t="b">
        <v>0</v>
      </c>
      <c r="AA252" t="s">
        <v>456</v>
      </c>
      <c r="AB252" t="b">
        <v>0</v>
      </c>
      <c r="AD252" s="2"/>
    </row>
    <row r="253" spans="1:30" x14ac:dyDescent="0.25">
      <c r="A253">
        <v>252</v>
      </c>
      <c r="B253" t="s">
        <v>17</v>
      </c>
      <c r="C253" s="3">
        <v>33752</v>
      </c>
      <c r="D253" s="2">
        <f ca="1">DATEDIF(gym_membership[[#This Row],[birthday]],TODAY(),"y")</f>
        <v>34</v>
      </c>
      <c r="E253">
        <v>32</v>
      </c>
      <c r="F253" t="s">
        <v>18</v>
      </c>
      <c r="G253">
        <v>5</v>
      </c>
      <c r="H253" t="s">
        <v>230</v>
      </c>
      <c r="I253" t="s">
        <v>44</v>
      </c>
      <c r="J253" t="s">
        <v>34</v>
      </c>
      <c r="K253" t="s">
        <v>95</v>
      </c>
      <c r="L253" t="s">
        <v>57</v>
      </c>
      <c r="M253" t="s">
        <v>77</v>
      </c>
      <c r="N253" t="b">
        <v>1</v>
      </c>
      <c r="O253" t="s">
        <v>231</v>
      </c>
      <c r="P253" t="s">
        <v>96</v>
      </c>
      <c r="Q253" t="s">
        <v>72</v>
      </c>
      <c r="S253" s="1">
        <v>0.4284722222222222</v>
      </c>
      <c r="T253" s="1">
        <v>0.54513888888888884</v>
      </c>
      <c r="U253">
        <v>168</v>
      </c>
      <c r="V253" t="b">
        <v>1</v>
      </c>
      <c r="W253" t="s">
        <v>76</v>
      </c>
      <c r="X253" t="s">
        <v>76</v>
      </c>
      <c r="Z253" t="b">
        <v>0</v>
      </c>
      <c r="AA253" t="s">
        <v>456</v>
      </c>
      <c r="AB253" t="b">
        <v>0</v>
      </c>
      <c r="AD253" s="2"/>
    </row>
    <row r="254" spans="1:30" x14ac:dyDescent="0.25">
      <c r="A254">
        <v>253</v>
      </c>
      <c r="B254" t="s">
        <v>25</v>
      </c>
      <c r="C254" s="3">
        <v>30616</v>
      </c>
      <c r="D254" s="2">
        <f ca="1">DATEDIF(gym_membership[[#This Row],[birthday]],TODAY(),"y")</f>
        <v>42</v>
      </c>
      <c r="E254">
        <v>40</v>
      </c>
      <c r="F254" t="s">
        <v>18</v>
      </c>
      <c r="G254">
        <v>2</v>
      </c>
      <c r="H254" t="s">
        <v>119</v>
      </c>
      <c r="I254" t="s">
        <v>44</v>
      </c>
      <c r="J254" t="s">
        <v>57</v>
      </c>
      <c r="N254" t="b">
        <v>1</v>
      </c>
      <c r="O254" t="s">
        <v>139</v>
      </c>
      <c r="P254" t="s">
        <v>103</v>
      </c>
      <c r="Q254" t="s">
        <v>67</v>
      </c>
      <c r="S254" s="1">
        <v>0.60624999999999996</v>
      </c>
      <c r="T254" s="1">
        <v>0.65277777777777779</v>
      </c>
      <c r="U254">
        <v>67</v>
      </c>
      <c r="V254" t="b">
        <v>1</v>
      </c>
      <c r="W254" t="s">
        <v>65</v>
      </c>
      <c r="X254" t="s">
        <v>65</v>
      </c>
      <c r="Z254" t="b">
        <v>1</v>
      </c>
      <c r="AA254" t="s">
        <v>43</v>
      </c>
      <c r="AB254" t="b">
        <v>0</v>
      </c>
      <c r="AD254" s="2"/>
    </row>
    <row r="255" spans="1:30" x14ac:dyDescent="0.25">
      <c r="A255">
        <v>254</v>
      </c>
      <c r="B255" t="s">
        <v>25</v>
      </c>
      <c r="C255" s="3">
        <v>37921</v>
      </c>
      <c r="D255" s="2">
        <f ca="1">DATEDIF(gym_membership[[#This Row],[birthday]],TODAY(),"y")</f>
        <v>22</v>
      </c>
      <c r="E255">
        <v>20</v>
      </c>
      <c r="F255" t="s">
        <v>22</v>
      </c>
      <c r="G255">
        <v>4</v>
      </c>
      <c r="H255" t="s">
        <v>232</v>
      </c>
      <c r="I255" t="s">
        <v>44</v>
      </c>
      <c r="J255" t="s">
        <v>34</v>
      </c>
      <c r="K255" t="s">
        <v>94</v>
      </c>
      <c r="L255" t="s">
        <v>77</v>
      </c>
      <c r="N255" t="b">
        <v>0</v>
      </c>
      <c r="O255" t="s">
        <v>21</v>
      </c>
      <c r="S255" s="1">
        <v>0.71666666666666667</v>
      </c>
      <c r="T255" s="1">
        <v>0.7631944444444444</v>
      </c>
      <c r="U255">
        <v>67</v>
      </c>
      <c r="V255" t="b">
        <v>0</v>
      </c>
      <c r="W255" t="s">
        <v>21</v>
      </c>
      <c r="Z255" t="b">
        <v>0</v>
      </c>
      <c r="AA255" t="s">
        <v>456</v>
      </c>
      <c r="AB255" t="b">
        <v>1</v>
      </c>
      <c r="AD255" s="2"/>
    </row>
    <row r="256" spans="1:30" x14ac:dyDescent="0.25">
      <c r="A256">
        <v>255</v>
      </c>
      <c r="B256" t="s">
        <v>25</v>
      </c>
      <c r="C256" s="3">
        <v>37725</v>
      </c>
      <c r="D256" s="2">
        <f ca="1">DATEDIF(gym_membership[[#This Row],[birthday]],TODAY(),"y")</f>
        <v>23</v>
      </c>
      <c r="E256">
        <v>21</v>
      </c>
      <c r="F256" t="s">
        <v>18</v>
      </c>
      <c r="G256">
        <v>1</v>
      </c>
      <c r="H256" t="s">
        <v>94</v>
      </c>
      <c r="I256" t="s">
        <v>94</v>
      </c>
      <c r="N256" t="b">
        <v>1</v>
      </c>
      <c r="O256" t="s">
        <v>233</v>
      </c>
      <c r="P256" t="s">
        <v>120</v>
      </c>
      <c r="Q256" t="s">
        <v>96</v>
      </c>
      <c r="R256" t="s">
        <v>91</v>
      </c>
      <c r="S256" s="1">
        <v>0.6069444444444444</v>
      </c>
      <c r="T256" s="1">
        <v>0.62777777777777777</v>
      </c>
      <c r="U256">
        <v>30</v>
      </c>
      <c r="V256" t="b">
        <v>1</v>
      </c>
      <c r="W256" t="s">
        <v>39</v>
      </c>
      <c r="X256" t="s">
        <v>39</v>
      </c>
      <c r="Z256" t="b">
        <v>1</v>
      </c>
      <c r="AA256" t="s">
        <v>29</v>
      </c>
      <c r="AB256" t="b">
        <v>1</v>
      </c>
      <c r="AD256" s="2"/>
    </row>
    <row r="257" spans="1:30" x14ac:dyDescent="0.25">
      <c r="A257">
        <v>256</v>
      </c>
      <c r="B257" t="s">
        <v>17</v>
      </c>
      <c r="C257" s="3">
        <v>31399</v>
      </c>
      <c r="D257" s="2">
        <f ca="1">DATEDIF(gym_membership[[#This Row],[birthday]],TODAY(),"y")</f>
        <v>40</v>
      </c>
      <c r="E257">
        <v>38</v>
      </c>
      <c r="F257" t="s">
        <v>18</v>
      </c>
      <c r="G257">
        <v>1</v>
      </c>
      <c r="H257" t="s">
        <v>26</v>
      </c>
      <c r="I257" t="s">
        <v>26</v>
      </c>
      <c r="N257" t="b">
        <v>1</v>
      </c>
      <c r="O257" t="s">
        <v>58</v>
      </c>
      <c r="P257" t="s">
        <v>58</v>
      </c>
      <c r="S257" s="1">
        <v>0.73402777777777772</v>
      </c>
      <c r="T257" s="1">
        <v>0.77708333333333335</v>
      </c>
      <c r="U257">
        <v>62</v>
      </c>
      <c r="V257" t="b">
        <v>0</v>
      </c>
      <c r="W257" t="s">
        <v>21</v>
      </c>
      <c r="Z257" t="b">
        <v>1</v>
      </c>
      <c r="AA257" t="s">
        <v>29</v>
      </c>
      <c r="AB257" t="b">
        <v>0</v>
      </c>
      <c r="AD257" s="2"/>
    </row>
    <row r="258" spans="1:30" x14ac:dyDescent="0.25">
      <c r="A258">
        <v>257</v>
      </c>
      <c r="B258" t="s">
        <v>25</v>
      </c>
      <c r="C258" s="3">
        <v>28942</v>
      </c>
      <c r="D258" s="2">
        <f ca="1">DATEDIF(gym_membership[[#This Row],[birthday]],TODAY(),"y")</f>
        <v>47</v>
      </c>
      <c r="E258">
        <v>45</v>
      </c>
      <c r="F258" t="s">
        <v>22</v>
      </c>
      <c r="G258">
        <v>2</v>
      </c>
      <c r="H258" t="s">
        <v>37</v>
      </c>
      <c r="I258" t="s">
        <v>34</v>
      </c>
      <c r="J258" t="s">
        <v>77</v>
      </c>
      <c r="N258" t="b">
        <v>1</v>
      </c>
      <c r="O258" t="s">
        <v>234</v>
      </c>
      <c r="P258" t="s">
        <v>27</v>
      </c>
      <c r="Q258" t="s">
        <v>67</v>
      </c>
      <c r="R258" t="s">
        <v>120</v>
      </c>
      <c r="S258" s="1">
        <v>0.34166666666666667</v>
      </c>
      <c r="T258" s="1">
        <v>0.42291666666666666</v>
      </c>
      <c r="U258">
        <v>117</v>
      </c>
      <c r="V258" t="b">
        <v>1</v>
      </c>
      <c r="W258" t="s">
        <v>204</v>
      </c>
      <c r="X258" t="s">
        <v>39</v>
      </c>
      <c r="Y258" t="s">
        <v>51</v>
      </c>
      <c r="Z258" t="b">
        <v>0</v>
      </c>
      <c r="AA258" t="s">
        <v>456</v>
      </c>
      <c r="AB258" t="b">
        <v>0</v>
      </c>
      <c r="AD258" s="2"/>
    </row>
    <row r="259" spans="1:30" x14ac:dyDescent="0.25">
      <c r="A259">
        <v>258</v>
      </c>
      <c r="B259" t="s">
        <v>25</v>
      </c>
      <c r="C259" s="3">
        <v>37246</v>
      </c>
      <c r="D259" s="2">
        <f ca="1">DATEDIF(gym_membership[[#This Row],[birthday]],TODAY(),"y")</f>
        <v>24</v>
      </c>
      <c r="E259">
        <v>22</v>
      </c>
      <c r="F259" t="s">
        <v>22</v>
      </c>
      <c r="G259">
        <v>2</v>
      </c>
      <c r="H259" t="s">
        <v>89</v>
      </c>
      <c r="I259" t="s">
        <v>26</v>
      </c>
      <c r="J259" t="s">
        <v>95</v>
      </c>
      <c r="N259" t="b">
        <v>0</v>
      </c>
      <c r="O259" t="s">
        <v>21</v>
      </c>
      <c r="S259" s="1">
        <v>0.8256944444444444</v>
      </c>
      <c r="T259" s="1">
        <v>0.85624999999999996</v>
      </c>
      <c r="U259">
        <v>44</v>
      </c>
      <c r="V259" t="b">
        <v>1</v>
      </c>
      <c r="W259" t="s">
        <v>108</v>
      </c>
      <c r="X259" t="s">
        <v>51</v>
      </c>
      <c r="Y259" t="s">
        <v>31</v>
      </c>
      <c r="Z259" t="b">
        <v>0</v>
      </c>
      <c r="AA259" t="s">
        <v>456</v>
      </c>
      <c r="AB259" t="b">
        <v>1</v>
      </c>
      <c r="AD259" s="2"/>
    </row>
    <row r="260" spans="1:30" x14ac:dyDescent="0.25">
      <c r="A260">
        <v>259</v>
      </c>
      <c r="B260" t="s">
        <v>17</v>
      </c>
      <c r="C260" s="3">
        <v>39210</v>
      </c>
      <c r="D260" s="2">
        <f ca="1">DATEDIF(gym_membership[[#This Row],[birthday]],TODAY(),"y")</f>
        <v>19</v>
      </c>
      <c r="E260">
        <v>17</v>
      </c>
      <c r="F260" t="s">
        <v>18</v>
      </c>
      <c r="G260">
        <v>5</v>
      </c>
      <c r="H260" t="s">
        <v>170</v>
      </c>
      <c r="I260" t="s">
        <v>44</v>
      </c>
      <c r="J260" t="s">
        <v>94</v>
      </c>
      <c r="K260" t="s">
        <v>95</v>
      </c>
      <c r="L260" t="s">
        <v>57</v>
      </c>
      <c r="M260" t="s">
        <v>77</v>
      </c>
      <c r="N260" t="b">
        <v>0</v>
      </c>
      <c r="O260" t="s">
        <v>21</v>
      </c>
      <c r="S260" s="1">
        <v>0.41805555555555557</v>
      </c>
      <c r="T260" s="1">
        <v>0.51180555555555551</v>
      </c>
      <c r="U260">
        <v>135</v>
      </c>
      <c r="V260" t="b">
        <v>1</v>
      </c>
      <c r="W260" t="s">
        <v>65</v>
      </c>
      <c r="X260" t="s">
        <v>65</v>
      </c>
      <c r="Z260" t="b">
        <v>1</v>
      </c>
      <c r="AA260" t="s">
        <v>24</v>
      </c>
      <c r="AB260" t="b">
        <v>0</v>
      </c>
      <c r="AD260" s="2"/>
    </row>
    <row r="261" spans="1:30" x14ac:dyDescent="0.25">
      <c r="A261">
        <v>260</v>
      </c>
      <c r="B261" t="s">
        <v>17</v>
      </c>
      <c r="C261" s="3">
        <v>33748</v>
      </c>
      <c r="D261" s="2">
        <f ca="1">DATEDIF(gym_membership[[#This Row],[birthday]],TODAY(),"y")</f>
        <v>34</v>
      </c>
      <c r="E261">
        <v>32</v>
      </c>
      <c r="F261" t="s">
        <v>22</v>
      </c>
      <c r="G261">
        <v>5</v>
      </c>
      <c r="H261" t="s">
        <v>195</v>
      </c>
      <c r="I261" t="s">
        <v>34</v>
      </c>
      <c r="J261" t="s">
        <v>26</v>
      </c>
      <c r="K261" t="s">
        <v>94</v>
      </c>
      <c r="L261" t="s">
        <v>95</v>
      </c>
      <c r="M261" t="s">
        <v>57</v>
      </c>
      <c r="N261" t="b">
        <v>0</v>
      </c>
      <c r="O261" t="s">
        <v>21</v>
      </c>
      <c r="S261" s="1">
        <v>0.34722222222222221</v>
      </c>
      <c r="T261" s="1">
        <v>0.44722222222222224</v>
      </c>
      <c r="U261">
        <v>144</v>
      </c>
      <c r="V261" t="b">
        <v>1</v>
      </c>
      <c r="W261" t="s">
        <v>39</v>
      </c>
      <c r="X261" t="s">
        <v>39</v>
      </c>
      <c r="Z261" t="b">
        <v>0</v>
      </c>
      <c r="AA261" t="s">
        <v>456</v>
      </c>
      <c r="AB261" t="b">
        <v>0</v>
      </c>
      <c r="AD261" s="2"/>
    </row>
    <row r="262" spans="1:30" x14ac:dyDescent="0.25">
      <c r="A262">
        <v>261</v>
      </c>
      <c r="B262" t="s">
        <v>25</v>
      </c>
      <c r="C262" s="3">
        <v>29496</v>
      </c>
      <c r="D262" s="2">
        <f ca="1">DATEDIF(gym_membership[[#This Row],[birthday]],TODAY(),"y")</f>
        <v>45</v>
      </c>
      <c r="E262">
        <v>44</v>
      </c>
      <c r="F262" t="s">
        <v>22</v>
      </c>
      <c r="G262">
        <v>2</v>
      </c>
      <c r="H262" t="s">
        <v>235</v>
      </c>
      <c r="I262" t="s">
        <v>95</v>
      </c>
      <c r="J262" t="s">
        <v>57</v>
      </c>
      <c r="N262" t="b">
        <v>0</v>
      </c>
      <c r="O262" t="s">
        <v>21</v>
      </c>
      <c r="S262" s="1">
        <v>0.50069444444444444</v>
      </c>
      <c r="T262" s="1">
        <v>0.58819444444444446</v>
      </c>
      <c r="U262">
        <v>126</v>
      </c>
      <c r="V262" t="b">
        <v>0</v>
      </c>
      <c r="W262" t="s">
        <v>21</v>
      </c>
      <c r="Z262" t="b">
        <v>0</v>
      </c>
      <c r="AA262" t="s">
        <v>456</v>
      </c>
      <c r="AB262" t="b">
        <v>1</v>
      </c>
      <c r="AD262" s="2"/>
    </row>
    <row r="263" spans="1:30" x14ac:dyDescent="0.25">
      <c r="A263">
        <v>262</v>
      </c>
      <c r="B263" t="s">
        <v>17</v>
      </c>
      <c r="C263" s="3">
        <v>28272</v>
      </c>
      <c r="D263" s="2">
        <f ca="1">DATEDIF(gym_membership[[#This Row],[birthday]],TODAY(),"y")</f>
        <v>49</v>
      </c>
      <c r="E263">
        <v>47</v>
      </c>
      <c r="F263" t="s">
        <v>18</v>
      </c>
      <c r="G263">
        <v>2</v>
      </c>
      <c r="H263" t="s">
        <v>86</v>
      </c>
      <c r="I263" t="s">
        <v>34</v>
      </c>
      <c r="J263" t="s">
        <v>26</v>
      </c>
      <c r="N263" t="b">
        <v>1</v>
      </c>
      <c r="O263" t="s">
        <v>236</v>
      </c>
      <c r="P263" t="s">
        <v>103</v>
      </c>
      <c r="Q263" t="s">
        <v>58</v>
      </c>
      <c r="S263" s="1">
        <v>0.36041666666666666</v>
      </c>
      <c r="T263" s="1">
        <v>0.40138888888888891</v>
      </c>
      <c r="U263">
        <v>59</v>
      </c>
      <c r="V263" t="b">
        <v>1</v>
      </c>
      <c r="W263" t="s">
        <v>51</v>
      </c>
      <c r="X263" t="s">
        <v>51</v>
      </c>
      <c r="Z263" t="b">
        <v>1</v>
      </c>
      <c r="AA263" t="s">
        <v>24</v>
      </c>
      <c r="AB263" t="b">
        <v>1</v>
      </c>
      <c r="AD263" s="2"/>
    </row>
    <row r="264" spans="1:30" x14ac:dyDescent="0.25">
      <c r="A264">
        <v>263</v>
      </c>
      <c r="B264" t="s">
        <v>17</v>
      </c>
      <c r="C264" s="3">
        <v>29664</v>
      </c>
      <c r="D264" s="2">
        <f ca="1">DATEDIF(gym_membership[[#This Row],[birthday]],TODAY(),"y")</f>
        <v>45</v>
      </c>
      <c r="E264">
        <v>43</v>
      </c>
      <c r="F264" t="s">
        <v>22</v>
      </c>
      <c r="G264">
        <v>1</v>
      </c>
      <c r="H264" t="s">
        <v>95</v>
      </c>
      <c r="I264" t="s">
        <v>95</v>
      </c>
      <c r="N264" t="b">
        <v>0</v>
      </c>
      <c r="O264" t="s">
        <v>21</v>
      </c>
      <c r="S264" s="1">
        <v>0.34513888888888888</v>
      </c>
      <c r="T264" s="1">
        <v>0.38055555555555554</v>
      </c>
      <c r="U264">
        <v>51</v>
      </c>
      <c r="V264" t="b">
        <v>0</v>
      </c>
      <c r="W264" t="s">
        <v>21</v>
      </c>
      <c r="Z264" t="b">
        <v>1</v>
      </c>
      <c r="AA264" t="s">
        <v>43</v>
      </c>
      <c r="AB264" t="b">
        <v>1</v>
      </c>
      <c r="AD264" s="2"/>
    </row>
    <row r="265" spans="1:30" x14ac:dyDescent="0.25">
      <c r="A265">
        <v>264</v>
      </c>
      <c r="B265" t="s">
        <v>25</v>
      </c>
      <c r="C265" s="3">
        <v>27946</v>
      </c>
      <c r="D265" s="2">
        <f ca="1">DATEDIF(gym_membership[[#This Row],[birthday]],TODAY(),"y")</f>
        <v>50</v>
      </c>
      <c r="E265">
        <v>48</v>
      </c>
      <c r="F265" t="s">
        <v>22</v>
      </c>
      <c r="G265">
        <v>5</v>
      </c>
      <c r="H265" t="s">
        <v>220</v>
      </c>
      <c r="I265" t="s">
        <v>44</v>
      </c>
      <c r="J265" t="s">
        <v>34</v>
      </c>
      <c r="K265" t="s">
        <v>26</v>
      </c>
      <c r="L265" t="s">
        <v>94</v>
      </c>
      <c r="M265" t="s">
        <v>95</v>
      </c>
      <c r="N265" t="b">
        <v>0</v>
      </c>
      <c r="O265" t="s">
        <v>21</v>
      </c>
      <c r="S265" s="1">
        <v>0.65416666666666667</v>
      </c>
      <c r="T265" s="1">
        <v>0.77430555555555558</v>
      </c>
      <c r="U265">
        <v>173</v>
      </c>
      <c r="V265" t="b">
        <v>0</v>
      </c>
      <c r="W265" t="s">
        <v>21</v>
      </c>
      <c r="Z265" t="b">
        <v>1</v>
      </c>
      <c r="AA265" t="s">
        <v>45</v>
      </c>
      <c r="AB265" t="b">
        <v>1</v>
      </c>
      <c r="AD265" s="2"/>
    </row>
    <row r="266" spans="1:30" x14ac:dyDescent="0.25">
      <c r="A266">
        <v>265</v>
      </c>
      <c r="B266" t="s">
        <v>17</v>
      </c>
      <c r="C266" s="3">
        <v>33815</v>
      </c>
      <c r="D266" s="2">
        <f ca="1">DATEDIF(gym_membership[[#This Row],[birthday]],TODAY(),"y")</f>
        <v>34</v>
      </c>
      <c r="E266">
        <v>32</v>
      </c>
      <c r="F266" t="s">
        <v>22</v>
      </c>
      <c r="G266">
        <v>5</v>
      </c>
      <c r="H266" t="s">
        <v>170</v>
      </c>
      <c r="I266" t="s">
        <v>44</v>
      </c>
      <c r="J266" t="s">
        <v>94</v>
      </c>
      <c r="K266" t="s">
        <v>95</v>
      </c>
      <c r="L266" t="s">
        <v>57</v>
      </c>
      <c r="M266" t="s">
        <v>77</v>
      </c>
      <c r="N266" t="b">
        <v>0</v>
      </c>
      <c r="O266" t="s">
        <v>21</v>
      </c>
      <c r="S266" s="1">
        <v>0.82777777777777772</v>
      </c>
      <c r="T266" s="1">
        <v>0.88680555555555551</v>
      </c>
      <c r="U266">
        <v>85</v>
      </c>
      <c r="V266" t="b">
        <v>1</v>
      </c>
      <c r="W266" t="s">
        <v>51</v>
      </c>
      <c r="X266" t="s">
        <v>51</v>
      </c>
      <c r="Z266" t="b">
        <v>1</v>
      </c>
      <c r="AA266" t="s">
        <v>29</v>
      </c>
      <c r="AB266" t="b">
        <v>1</v>
      </c>
      <c r="AD266" s="2"/>
    </row>
    <row r="267" spans="1:30" x14ac:dyDescent="0.25">
      <c r="A267">
        <v>266</v>
      </c>
      <c r="B267" t="s">
        <v>17</v>
      </c>
      <c r="C267" s="3">
        <v>31814</v>
      </c>
      <c r="D267" s="2">
        <f ca="1">DATEDIF(gym_membership[[#This Row],[birthday]],TODAY(),"y")</f>
        <v>39</v>
      </c>
      <c r="E267">
        <v>37</v>
      </c>
      <c r="F267" t="s">
        <v>22</v>
      </c>
      <c r="G267">
        <v>3</v>
      </c>
      <c r="H267" t="s">
        <v>50</v>
      </c>
      <c r="I267" t="s">
        <v>34</v>
      </c>
      <c r="J267" t="s">
        <v>57</v>
      </c>
      <c r="K267" t="s">
        <v>77</v>
      </c>
      <c r="N267" t="b">
        <v>1</v>
      </c>
      <c r="O267" t="s">
        <v>237</v>
      </c>
      <c r="P267" t="s">
        <v>72</v>
      </c>
      <c r="Q267" t="s">
        <v>96</v>
      </c>
      <c r="S267" s="1">
        <v>0.75486111111111109</v>
      </c>
      <c r="T267" s="1">
        <v>0.83402777777777781</v>
      </c>
      <c r="U267">
        <v>114</v>
      </c>
      <c r="V267" t="b">
        <v>0</v>
      </c>
      <c r="W267" t="s">
        <v>21</v>
      </c>
      <c r="Z267" t="b">
        <v>0</v>
      </c>
      <c r="AA267" t="s">
        <v>456</v>
      </c>
      <c r="AB267" t="b">
        <v>1</v>
      </c>
      <c r="AD267" s="2"/>
    </row>
    <row r="268" spans="1:30" x14ac:dyDescent="0.25">
      <c r="A268">
        <v>267</v>
      </c>
      <c r="B268" t="s">
        <v>17</v>
      </c>
      <c r="C268" s="3">
        <v>32275</v>
      </c>
      <c r="D268" s="2">
        <f ca="1">DATEDIF(gym_membership[[#This Row],[birthday]],TODAY(),"y")</f>
        <v>38</v>
      </c>
      <c r="E268">
        <v>36</v>
      </c>
      <c r="F268" t="s">
        <v>22</v>
      </c>
      <c r="G268">
        <v>5</v>
      </c>
      <c r="H268" t="s">
        <v>131</v>
      </c>
      <c r="I268" t="s">
        <v>44</v>
      </c>
      <c r="J268" t="s">
        <v>34</v>
      </c>
      <c r="K268" t="s">
        <v>26</v>
      </c>
      <c r="L268" t="s">
        <v>94</v>
      </c>
      <c r="M268" t="s">
        <v>57</v>
      </c>
      <c r="N268" t="b">
        <v>0</v>
      </c>
      <c r="O268" t="s">
        <v>21</v>
      </c>
      <c r="S268" s="1">
        <v>0.48125000000000001</v>
      </c>
      <c r="T268" s="1">
        <v>0.52777777777777779</v>
      </c>
      <c r="U268">
        <v>67</v>
      </c>
      <c r="V268" t="b">
        <v>1</v>
      </c>
      <c r="W268" t="s">
        <v>39</v>
      </c>
      <c r="X268" t="s">
        <v>39</v>
      </c>
      <c r="Z268" t="b">
        <v>0</v>
      </c>
      <c r="AA268" t="s">
        <v>456</v>
      </c>
      <c r="AB268" t="b">
        <v>1</v>
      </c>
      <c r="AD268" s="2"/>
    </row>
    <row r="269" spans="1:30" x14ac:dyDescent="0.25">
      <c r="A269">
        <v>268</v>
      </c>
      <c r="B269" t="s">
        <v>25</v>
      </c>
      <c r="C269" s="3">
        <v>37228</v>
      </c>
      <c r="D269" s="2">
        <f ca="1">DATEDIF(gym_membership[[#This Row],[birthday]],TODAY(),"y")</f>
        <v>24</v>
      </c>
      <c r="E269">
        <v>22</v>
      </c>
      <c r="F269" t="s">
        <v>18</v>
      </c>
      <c r="G269">
        <v>4</v>
      </c>
      <c r="H269" t="s">
        <v>113</v>
      </c>
      <c r="I269" t="s">
        <v>44</v>
      </c>
      <c r="J269" t="s">
        <v>34</v>
      </c>
      <c r="K269" t="s">
        <v>26</v>
      </c>
      <c r="L269" t="s">
        <v>95</v>
      </c>
      <c r="N269" t="b">
        <v>0</v>
      </c>
      <c r="O269" t="s">
        <v>21</v>
      </c>
      <c r="S269" s="1">
        <v>0.75555555555555554</v>
      </c>
      <c r="T269" s="1">
        <v>0.85902777777777772</v>
      </c>
      <c r="U269">
        <v>149</v>
      </c>
      <c r="V269" t="b">
        <v>0</v>
      </c>
      <c r="W269" t="s">
        <v>21</v>
      </c>
      <c r="Z269" t="b">
        <v>1</v>
      </c>
      <c r="AA269" t="s">
        <v>29</v>
      </c>
      <c r="AB269" t="b">
        <v>0</v>
      </c>
      <c r="AD269" s="2"/>
    </row>
    <row r="270" spans="1:30" x14ac:dyDescent="0.25">
      <c r="A270">
        <v>269</v>
      </c>
      <c r="B270" t="s">
        <v>25</v>
      </c>
      <c r="C270" s="3">
        <v>32057</v>
      </c>
      <c r="D270" s="2">
        <f ca="1">DATEDIF(gym_membership[[#This Row],[birthday]],TODAY(),"y")</f>
        <v>38</v>
      </c>
      <c r="E270">
        <v>37</v>
      </c>
      <c r="F270" t="s">
        <v>18</v>
      </c>
      <c r="G270">
        <v>2</v>
      </c>
      <c r="H270" t="s">
        <v>228</v>
      </c>
      <c r="I270" t="s">
        <v>44</v>
      </c>
      <c r="J270" t="s">
        <v>95</v>
      </c>
      <c r="N270" t="b">
        <v>0</v>
      </c>
      <c r="O270" t="s">
        <v>21</v>
      </c>
      <c r="S270" s="1">
        <v>0.41597222222222224</v>
      </c>
      <c r="T270" s="1">
        <v>0.44513888888888886</v>
      </c>
      <c r="U270">
        <v>42</v>
      </c>
      <c r="V270" t="b">
        <v>0</v>
      </c>
      <c r="W270" t="s">
        <v>21</v>
      </c>
      <c r="Z270" t="b">
        <v>0</v>
      </c>
      <c r="AA270" t="s">
        <v>456</v>
      </c>
      <c r="AB270" t="b">
        <v>0</v>
      </c>
      <c r="AD270" s="2"/>
    </row>
    <row r="271" spans="1:30" x14ac:dyDescent="0.25">
      <c r="A271">
        <v>270</v>
      </c>
      <c r="B271" t="s">
        <v>25</v>
      </c>
      <c r="C271" s="3">
        <v>31107</v>
      </c>
      <c r="D271" s="2">
        <f ca="1">DATEDIF(gym_membership[[#This Row],[birthday]],TODAY(),"y")</f>
        <v>41</v>
      </c>
      <c r="E271">
        <v>39</v>
      </c>
      <c r="F271" t="s">
        <v>22</v>
      </c>
      <c r="G271">
        <v>3</v>
      </c>
      <c r="H271" t="s">
        <v>35</v>
      </c>
      <c r="I271" t="s">
        <v>26</v>
      </c>
      <c r="J271" t="s">
        <v>95</v>
      </c>
      <c r="K271" t="s">
        <v>77</v>
      </c>
      <c r="N271" t="b">
        <v>1</v>
      </c>
      <c r="O271" t="s">
        <v>238</v>
      </c>
      <c r="P271" t="s">
        <v>41</v>
      </c>
      <c r="Q271" t="s">
        <v>128</v>
      </c>
      <c r="R271" t="s">
        <v>103</v>
      </c>
      <c r="S271" s="1">
        <v>0.6381944444444444</v>
      </c>
      <c r="T271" s="1">
        <v>0.73263888888888884</v>
      </c>
      <c r="U271">
        <v>136</v>
      </c>
      <c r="V271" t="b">
        <v>0</v>
      </c>
      <c r="W271" t="s">
        <v>21</v>
      </c>
      <c r="Z271" t="b">
        <v>1</v>
      </c>
      <c r="AA271" t="s">
        <v>29</v>
      </c>
      <c r="AB271" t="b">
        <v>1</v>
      </c>
      <c r="AD271" s="2"/>
    </row>
    <row r="272" spans="1:30" x14ac:dyDescent="0.25">
      <c r="A272">
        <v>271</v>
      </c>
      <c r="B272" t="s">
        <v>25</v>
      </c>
      <c r="C272" s="3">
        <v>28122</v>
      </c>
      <c r="D272" s="2">
        <f ca="1">DATEDIF(gym_membership[[#This Row],[birthday]],TODAY(),"y")</f>
        <v>49</v>
      </c>
      <c r="E272">
        <v>47</v>
      </c>
      <c r="F272" t="s">
        <v>22</v>
      </c>
      <c r="G272">
        <v>3</v>
      </c>
      <c r="H272" t="s">
        <v>150</v>
      </c>
      <c r="I272" t="s">
        <v>44</v>
      </c>
      <c r="J272" t="s">
        <v>34</v>
      </c>
      <c r="K272" t="s">
        <v>94</v>
      </c>
      <c r="N272" t="b">
        <v>0</v>
      </c>
      <c r="O272" t="s">
        <v>21</v>
      </c>
      <c r="S272" s="1">
        <v>0.42222222222222222</v>
      </c>
      <c r="T272" s="1">
        <v>0.4597222222222222</v>
      </c>
      <c r="U272">
        <v>54</v>
      </c>
      <c r="V272" t="b">
        <v>0</v>
      </c>
      <c r="W272" t="s">
        <v>21</v>
      </c>
      <c r="Z272" t="b">
        <v>1</v>
      </c>
      <c r="AA272" t="s">
        <v>45</v>
      </c>
      <c r="AB272" t="b">
        <v>0</v>
      </c>
      <c r="AD272" s="2"/>
    </row>
    <row r="273" spans="1:30" x14ac:dyDescent="0.25">
      <c r="A273">
        <v>272</v>
      </c>
      <c r="B273" t="s">
        <v>25</v>
      </c>
      <c r="C273" s="3">
        <v>27406</v>
      </c>
      <c r="D273" s="2">
        <f ca="1">DATEDIF(gym_membership[[#This Row],[birthday]],TODAY(),"y")</f>
        <v>51</v>
      </c>
      <c r="E273">
        <v>49</v>
      </c>
      <c r="F273" t="s">
        <v>18</v>
      </c>
      <c r="G273">
        <v>2</v>
      </c>
      <c r="H273" t="s">
        <v>119</v>
      </c>
      <c r="I273" t="s">
        <v>44</v>
      </c>
      <c r="J273" t="s">
        <v>57</v>
      </c>
      <c r="N273" t="b">
        <v>1</v>
      </c>
      <c r="O273" t="s">
        <v>103</v>
      </c>
      <c r="P273" t="s">
        <v>103</v>
      </c>
      <c r="S273" s="1">
        <v>0.55555555555555558</v>
      </c>
      <c r="T273" s="1">
        <v>0.60138888888888886</v>
      </c>
      <c r="U273">
        <v>66</v>
      </c>
      <c r="V273" t="b">
        <v>0</v>
      </c>
      <c r="W273" t="s">
        <v>21</v>
      </c>
      <c r="Z273" t="b">
        <v>1</v>
      </c>
      <c r="AA273" t="s">
        <v>24</v>
      </c>
      <c r="AB273" t="b">
        <v>1</v>
      </c>
      <c r="AD273" s="2"/>
    </row>
    <row r="274" spans="1:30" x14ac:dyDescent="0.25">
      <c r="A274">
        <v>273</v>
      </c>
      <c r="B274" t="s">
        <v>25</v>
      </c>
      <c r="C274" s="3">
        <v>35426</v>
      </c>
      <c r="D274" s="2">
        <f ca="1">DATEDIF(gym_membership[[#This Row],[birthday]],TODAY(),"y")</f>
        <v>29</v>
      </c>
      <c r="E274">
        <v>27</v>
      </c>
      <c r="F274" t="s">
        <v>22</v>
      </c>
      <c r="G274">
        <v>2</v>
      </c>
      <c r="H274" t="s">
        <v>111</v>
      </c>
      <c r="I274" t="s">
        <v>94</v>
      </c>
      <c r="J274" t="s">
        <v>95</v>
      </c>
      <c r="N274" t="b">
        <v>0</v>
      </c>
      <c r="O274" t="s">
        <v>21</v>
      </c>
      <c r="S274" s="1">
        <v>0.47430555555555554</v>
      </c>
      <c r="T274" s="1">
        <v>0.54166666666666663</v>
      </c>
      <c r="U274">
        <v>97</v>
      </c>
      <c r="V274" t="b">
        <v>0</v>
      </c>
      <c r="W274" t="s">
        <v>21</v>
      </c>
      <c r="Z274" t="b">
        <v>1</v>
      </c>
      <c r="AA274" t="s">
        <v>24</v>
      </c>
      <c r="AB274" t="b">
        <v>1</v>
      </c>
      <c r="AD274" s="2"/>
    </row>
    <row r="275" spans="1:30" x14ac:dyDescent="0.25">
      <c r="A275">
        <v>274</v>
      </c>
      <c r="B275" t="s">
        <v>17</v>
      </c>
      <c r="C275" s="3">
        <v>29314</v>
      </c>
      <c r="D275" s="2">
        <f ca="1">DATEDIF(gym_membership[[#This Row],[birthday]],TODAY(),"y")</f>
        <v>46</v>
      </c>
      <c r="E275">
        <v>44</v>
      </c>
      <c r="F275" t="s">
        <v>22</v>
      </c>
      <c r="G275">
        <v>2</v>
      </c>
      <c r="H275" t="s">
        <v>132</v>
      </c>
      <c r="I275" t="s">
        <v>44</v>
      </c>
      <c r="J275" t="s">
        <v>94</v>
      </c>
      <c r="N275" t="b">
        <v>1</v>
      </c>
      <c r="O275" t="s">
        <v>239</v>
      </c>
      <c r="P275" t="s">
        <v>58</v>
      </c>
      <c r="Q275" t="s">
        <v>72</v>
      </c>
      <c r="R275" t="s">
        <v>128</v>
      </c>
      <c r="S275" s="1">
        <v>0.8125</v>
      </c>
      <c r="T275" s="1">
        <v>0.9194444444444444</v>
      </c>
      <c r="U275">
        <v>154</v>
      </c>
      <c r="V275" t="b">
        <v>0</v>
      </c>
      <c r="W275" t="s">
        <v>21</v>
      </c>
      <c r="Z275" t="b">
        <v>0</v>
      </c>
      <c r="AA275" t="s">
        <v>456</v>
      </c>
      <c r="AB275" t="b">
        <v>0</v>
      </c>
      <c r="AD275" s="2"/>
    </row>
    <row r="276" spans="1:30" x14ac:dyDescent="0.25">
      <c r="A276">
        <v>275</v>
      </c>
      <c r="B276" t="s">
        <v>25</v>
      </c>
      <c r="C276" s="3">
        <v>40703</v>
      </c>
      <c r="D276" s="2">
        <f ca="1">DATEDIF(gym_membership[[#This Row],[birthday]],TODAY(),"y")</f>
        <v>15</v>
      </c>
      <c r="E276">
        <v>13</v>
      </c>
      <c r="F276" t="s">
        <v>22</v>
      </c>
      <c r="G276">
        <v>2</v>
      </c>
      <c r="H276" t="s">
        <v>119</v>
      </c>
      <c r="I276" t="s">
        <v>44</v>
      </c>
      <c r="J276" t="s">
        <v>57</v>
      </c>
      <c r="N276" t="b">
        <v>0</v>
      </c>
      <c r="O276" t="s">
        <v>21</v>
      </c>
      <c r="S276" s="1">
        <v>0.40138888888888891</v>
      </c>
      <c r="T276" s="1">
        <v>0.42430555555555555</v>
      </c>
      <c r="U276">
        <v>33</v>
      </c>
      <c r="V276" t="b">
        <v>0</v>
      </c>
      <c r="W276" t="s">
        <v>21</v>
      </c>
      <c r="Z276" t="b">
        <v>0</v>
      </c>
      <c r="AA276" t="s">
        <v>456</v>
      </c>
      <c r="AB276" t="b">
        <v>1</v>
      </c>
      <c r="AD276" s="2"/>
    </row>
    <row r="277" spans="1:30" x14ac:dyDescent="0.25">
      <c r="A277">
        <v>276</v>
      </c>
      <c r="B277" t="s">
        <v>25</v>
      </c>
      <c r="C277" s="3">
        <v>40270</v>
      </c>
      <c r="D277" s="2">
        <f ca="1">DATEDIF(gym_membership[[#This Row],[birthday]],TODAY(),"y")</f>
        <v>16</v>
      </c>
      <c r="E277">
        <v>14</v>
      </c>
      <c r="F277" t="s">
        <v>22</v>
      </c>
      <c r="G277">
        <v>2</v>
      </c>
      <c r="H277" t="s">
        <v>235</v>
      </c>
      <c r="I277" t="s">
        <v>95</v>
      </c>
      <c r="J277" t="s">
        <v>57</v>
      </c>
      <c r="N277" t="b">
        <v>1</v>
      </c>
      <c r="O277" t="s">
        <v>91</v>
      </c>
      <c r="P277" t="s">
        <v>91</v>
      </c>
      <c r="S277" s="1">
        <v>0.47291666666666665</v>
      </c>
      <c r="T277" s="1">
        <v>0.59583333333333333</v>
      </c>
      <c r="U277">
        <v>177</v>
      </c>
      <c r="V277" t="b">
        <v>0</v>
      </c>
      <c r="W277" t="s">
        <v>21</v>
      </c>
      <c r="Z277" t="b">
        <v>0</v>
      </c>
      <c r="AA277" t="s">
        <v>456</v>
      </c>
      <c r="AB277" t="b">
        <v>1</v>
      </c>
      <c r="AD277" s="2"/>
    </row>
    <row r="278" spans="1:30" x14ac:dyDescent="0.25">
      <c r="A278">
        <v>277</v>
      </c>
      <c r="B278" t="s">
        <v>17</v>
      </c>
      <c r="C278" s="3">
        <v>36275</v>
      </c>
      <c r="D278" s="2">
        <f ca="1">DATEDIF(gym_membership[[#This Row],[birthday]],TODAY(),"y")</f>
        <v>27</v>
      </c>
      <c r="E278">
        <v>25</v>
      </c>
      <c r="F278" t="s">
        <v>22</v>
      </c>
      <c r="G278">
        <v>2</v>
      </c>
      <c r="H278" t="s">
        <v>32</v>
      </c>
      <c r="I278" t="s">
        <v>95</v>
      </c>
      <c r="J278" t="s">
        <v>77</v>
      </c>
      <c r="N278" t="b">
        <v>0</v>
      </c>
      <c r="O278" t="s">
        <v>21</v>
      </c>
      <c r="S278" s="1">
        <v>0.44305555555555554</v>
      </c>
      <c r="T278" s="1">
        <v>0.52222222222222225</v>
      </c>
      <c r="U278">
        <v>114</v>
      </c>
      <c r="V278" t="b">
        <v>1</v>
      </c>
      <c r="W278" t="s">
        <v>39</v>
      </c>
      <c r="X278" t="s">
        <v>39</v>
      </c>
      <c r="Z278" t="b">
        <v>1</v>
      </c>
      <c r="AA278" t="s">
        <v>45</v>
      </c>
      <c r="AB278" t="b">
        <v>0</v>
      </c>
      <c r="AD278" s="2"/>
    </row>
    <row r="279" spans="1:30" x14ac:dyDescent="0.25">
      <c r="A279">
        <v>278</v>
      </c>
      <c r="B279" t="s">
        <v>25</v>
      </c>
      <c r="C279" s="3">
        <v>33637</v>
      </c>
      <c r="D279" s="2">
        <f ca="1">DATEDIF(gym_membership[[#This Row],[birthday]],TODAY(),"y")</f>
        <v>34</v>
      </c>
      <c r="E279">
        <v>32</v>
      </c>
      <c r="F279" t="s">
        <v>18</v>
      </c>
      <c r="G279">
        <v>2</v>
      </c>
      <c r="H279" t="s">
        <v>132</v>
      </c>
      <c r="I279" t="s">
        <v>44</v>
      </c>
      <c r="J279" t="s">
        <v>94</v>
      </c>
      <c r="N279" t="b">
        <v>1</v>
      </c>
      <c r="O279" t="s">
        <v>103</v>
      </c>
      <c r="P279" t="s">
        <v>103</v>
      </c>
      <c r="S279" s="1">
        <v>0.55486111111111114</v>
      </c>
      <c r="T279" s="1">
        <v>0.61944444444444446</v>
      </c>
      <c r="U279">
        <v>93</v>
      </c>
      <c r="V279" t="b">
        <v>1</v>
      </c>
      <c r="W279" t="s">
        <v>163</v>
      </c>
      <c r="X279" t="s">
        <v>65</v>
      </c>
      <c r="Y279" t="s">
        <v>51</v>
      </c>
      <c r="Z279" t="b">
        <v>1</v>
      </c>
      <c r="AA279" t="s">
        <v>29</v>
      </c>
      <c r="AB279" t="b">
        <v>1</v>
      </c>
      <c r="AD279" s="2"/>
    </row>
    <row r="280" spans="1:30" x14ac:dyDescent="0.25">
      <c r="A280">
        <v>279</v>
      </c>
      <c r="B280" t="s">
        <v>17</v>
      </c>
      <c r="C280" s="3">
        <v>34622</v>
      </c>
      <c r="D280" s="2">
        <f ca="1">DATEDIF(gym_membership[[#This Row],[birthday]],TODAY(),"y")</f>
        <v>31</v>
      </c>
      <c r="E280">
        <v>29</v>
      </c>
      <c r="F280" t="s">
        <v>22</v>
      </c>
      <c r="G280">
        <v>4</v>
      </c>
      <c r="H280" t="s">
        <v>232</v>
      </c>
      <c r="I280" t="s">
        <v>44</v>
      </c>
      <c r="J280" t="s">
        <v>34</v>
      </c>
      <c r="K280" t="s">
        <v>94</v>
      </c>
      <c r="L280" t="s">
        <v>77</v>
      </c>
      <c r="N280" t="b">
        <v>0</v>
      </c>
      <c r="O280" t="s">
        <v>21</v>
      </c>
      <c r="S280" s="1">
        <v>0.4465277777777778</v>
      </c>
      <c r="T280" s="1">
        <v>0.49444444444444446</v>
      </c>
      <c r="U280">
        <v>69</v>
      </c>
      <c r="V280" t="b">
        <v>1</v>
      </c>
      <c r="W280" t="s">
        <v>65</v>
      </c>
      <c r="X280" t="s">
        <v>65</v>
      </c>
      <c r="Z280" t="b">
        <v>1</v>
      </c>
      <c r="AA280" t="s">
        <v>45</v>
      </c>
      <c r="AB280" t="b">
        <v>0</v>
      </c>
      <c r="AD280" s="2"/>
    </row>
    <row r="281" spans="1:30" x14ac:dyDescent="0.25">
      <c r="A281">
        <v>280</v>
      </c>
      <c r="B281" t="s">
        <v>25</v>
      </c>
      <c r="C281" s="3">
        <v>30340</v>
      </c>
      <c r="D281" s="2">
        <f ca="1">DATEDIF(gym_membership[[#This Row],[birthday]],TODAY(),"y")</f>
        <v>43</v>
      </c>
      <c r="E281">
        <v>41</v>
      </c>
      <c r="F281" t="s">
        <v>22</v>
      </c>
      <c r="G281">
        <v>2</v>
      </c>
      <c r="H281" t="s">
        <v>228</v>
      </c>
      <c r="I281" t="s">
        <v>44</v>
      </c>
      <c r="J281" t="s">
        <v>95</v>
      </c>
      <c r="N281" t="b">
        <v>1</v>
      </c>
      <c r="O281" t="s">
        <v>240</v>
      </c>
      <c r="P281" t="s">
        <v>58</v>
      </c>
      <c r="Q281" t="s">
        <v>103</v>
      </c>
      <c r="S281" s="1">
        <v>0.43680555555555556</v>
      </c>
      <c r="T281" s="1">
        <v>0.52569444444444446</v>
      </c>
      <c r="U281">
        <v>128</v>
      </c>
      <c r="V281" t="b">
        <v>1</v>
      </c>
      <c r="W281" t="s">
        <v>241</v>
      </c>
      <c r="X281" t="s">
        <v>39</v>
      </c>
      <c r="Y281" t="s">
        <v>59</v>
      </c>
      <c r="Z281" t="b">
        <v>1</v>
      </c>
      <c r="AA281" t="s">
        <v>24</v>
      </c>
      <c r="AB281" t="b">
        <v>1</v>
      </c>
      <c r="AD281" s="2"/>
    </row>
    <row r="282" spans="1:30" x14ac:dyDescent="0.25">
      <c r="A282">
        <v>281</v>
      </c>
      <c r="B282" t="s">
        <v>25</v>
      </c>
      <c r="C282" s="3">
        <v>37773</v>
      </c>
      <c r="D282" s="2">
        <f ca="1">DATEDIF(gym_membership[[#This Row],[birthday]],TODAY(),"y")</f>
        <v>23</v>
      </c>
      <c r="E282">
        <v>21</v>
      </c>
      <c r="F282" t="s">
        <v>18</v>
      </c>
      <c r="G282">
        <v>2</v>
      </c>
      <c r="H282" t="s">
        <v>62</v>
      </c>
      <c r="I282" t="s">
        <v>44</v>
      </c>
      <c r="J282" t="s">
        <v>34</v>
      </c>
      <c r="N282" t="b">
        <v>1</v>
      </c>
      <c r="O282" t="s">
        <v>242</v>
      </c>
      <c r="P282" t="s">
        <v>58</v>
      </c>
      <c r="Q282" t="s">
        <v>27</v>
      </c>
      <c r="R282" t="s">
        <v>120</v>
      </c>
      <c r="S282" s="1">
        <v>0.65277777777777779</v>
      </c>
      <c r="T282" s="1">
        <v>0.69930555555555551</v>
      </c>
      <c r="U282">
        <v>67</v>
      </c>
      <c r="V282" t="b">
        <v>0</v>
      </c>
      <c r="W282" t="s">
        <v>21</v>
      </c>
      <c r="Z282" t="b">
        <v>1</v>
      </c>
      <c r="AA282" t="s">
        <v>24</v>
      </c>
      <c r="AB282" t="b">
        <v>1</v>
      </c>
      <c r="AD282" s="2"/>
    </row>
    <row r="283" spans="1:30" x14ac:dyDescent="0.25">
      <c r="A283">
        <v>282</v>
      </c>
      <c r="B283" t="s">
        <v>25</v>
      </c>
      <c r="C283" s="3">
        <v>36347</v>
      </c>
      <c r="D283" s="2">
        <f ca="1">DATEDIF(gym_membership[[#This Row],[birthday]],TODAY(),"y")</f>
        <v>27</v>
      </c>
      <c r="E283">
        <v>25</v>
      </c>
      <c r="F283" t="s">
        <v>22</v>
      </c>
      <c r="G283">
        <v>5</v>
      </c>
      <c r="H283" t="s">
        <v>129</v>
      </c>
      <c r="I283" t="s">
        <v>34</v>
      </c>
      <c r="J283" t="s">
        <v>26</v>
      </c>
      <c r="K283" t="s">
        <v>94</v>
      </c>
      <c r="L283" t="s">
        <v>95</v>
      </c>
      <c r="M283" t="s">
        <v>77</v>
      </c>
      <c r="N283" t="b">
        <v>1</v>
      </c>
      <c r="O283" t="s">
        <v>243</v>
      </c>
      <c r="P283" t="s">
        <v>72</v>
      </c>
      <c r="Q283" t="s">
        <v>41</v>
      </c>
      <c r="S283" s="1">
        <v>0.51736111111111116</v>
      </c>
      <c r="T283" s="1">
        <v>0.56944444444444442</v>
      </c>
      <c r="U283">
        <v>75</v>
      </c>
      <c r="V283" t="b">
        <v>1</v>
      </c>
      <c r="W283" t="s">
        <v>51</v>
      </c>
      <c r="X283" t="s">
        <v>51</v>
      </c>
      <c r="Z283" t="b">
        <v>0</v>
      </c>
      <c r="AA283" t="s">
        <v>456</v>
      </c>
      <c r="AB283" t="b">
        <v>1</v>
      </c>
      <c r="AD283" s="2"/>
    </row>
    <row r="284" spans="1:30" x14ac:dyDescent="0.25">
      <c r="A284">
        <v>283</v>
      </c>
      <c r="B284" t="s">
        <v>17</v>
      </c>
      <c r="C284" s="3">
        <v>37606</v>
      </c>
      <c r="D284" s="2">
        <f ca="1">DATEDIF(gym_membership[[#This Row],[birthday]],TODAY(),"y")</f>
        <v>23</v>
      </c>
      <c r="E284">
        <v>21</v>
      </c>
      <c r="F284" t="s">
        <v>18</v>
      </c>
      <c r="G284">
        <v>2</v>
      </c>
      <c r="H284" t="s">
        <v>183</v>
      </c>
      <c r="I284" t="s">
        <v>44</v>
      </c>
      <c r="J284" t="s">
        <v>26</v>
      </c>
      <c r="N284" t="b">
        <v>1</v>
      </c>
      <c r="O284" t="s">
        <v>91</v>
      </c>
      <c r="P284" t="s">
        <v>91</v>
      </c>
      <c r="S284" s="1">
        <v>0.62152777777777779</v>
      </c>
      <c r="T284" s="1">
        <v>0.64444444444444449</v>
      </c>
      <c r="U284">
        <v>33</v>
      </c>
      <c r="V284" t="b">
        <v>1</v>
      </c>
      <c r="W284" t="s">
        <v>76</v>
      </c>
      <c r="X284" t="s">
        <v>76</v>
      </c>
      <c r="Z284" t="b">
        <v>1</v>
      </c>
      <c r="AA284" t="s">
        <v>29</v>
      </c>
      <c r="AB284" t="b">
        <v>0</v>
      </c>
      <c r="AD284" s="2"/>
    </row>
    <row r="285" spans="1:30" x14ac:dyDescent="0.25">
      <c r="A285">
        <v>284</v>
      </c>
      <c r="B285" t="s">
        <v>17</v>
      </c>
      <c r="C285" s="3">
        <v>40533</v>
      </c>
      <c r="D285" s="2">
        <f ca="1">DATEDIF(gym_membership[[#This Row],[birthday]],TODAY(),"y")</f>
        <v>15</v>
      </c>
      <c r="E285">
        <v>13</v>
      </c>
      <c r="F285" t="s">
        <v>22</v>
      </c>
      <c r="G285">
        <v>2</v>
      </c>
      <c r="H285" t="s">
        <v>86</v>
      </c>
      <c r="I285" t="s">
        <v>34</v>
      </c>
      <c r="J285" t="s">
        <v>26</v>
      </c>
      <c r="N285" t="b">
        <v>0</v>
      </c>
      <c r="O285" t="s">
        <v>21</v>
      </c>
      <c r="S285" s="1">
        <v>0.53611111111111109</v>
      </c>
      <c r="T285" s="1">
        <v>0.5854166666666667</v>
      </c>
      <c r="U285">
        <v>71</v>
      </c>
      <c r="V285" t="b">
        <v>0</v>
      </c>
      <c r="W285" t="s">
        <v>21</v>
      </c>
      <c r="Z285" t="b">
        <v>0</v>
      </c>
      <c r="AA285" t="s">
        <v>456</v>
      </c>
      <c r="AB285" t="b">
        <v>0</v>
      </c>
      <c r="AD285" s="2"/>
    </row>
    <row r="286" spans="1:30" x14ac:dyDescent="0.25">
      <c r="A286">
        <v>285</v>
      </c>
      <c r="B286" t="s">
        <v>25</v>
      </c>
      <c r="C286" s="3">
        <v>27919</v>
      </c>
      <c r="D286" s="2">
        <f ca="1">DATEDIF(gym_membership[[#This Row],[birthday]],TODAY(),"y")</f>
        <v>50</v>
      </c>
      <c r="E286">
        <v>48</v>
      </c>
      <c r="F286" t="s">
        <v>18</v>
      </c>
      <c r="G286">
        <v>4</v>
      </c>
      <c r="H286" t="s">
        <v>244</v>
      </c>
      <c r="I286" t="s">
        <v>34</v>
      </c>
      <c r="J286" t="s">
        <v>94</v>
      </c>
      <c r="K286" t="s">
        <v>95</v>
      </c>
      <c r="L286" t="s">
        <v>77</v>
      </c>
      <c r="N286" t="b">
        <v>0</v>
      </c>
      <c r="O286" t="s">
        <v>21</v>
      </c>
      <c r="S286" s="1">
        <v>0.56458333333333333</v>
      </c>
      <c r="T286" s="1">
        <v>0.58888888888888891</v>
      </c>
      <c r="U286">
        <v>35</v>
      </c>
      <c r="V286" t="b">
        <v>1</v>
      </c>
      <c r="W286" t="s">
        <v>65</v>
      </c>
      <c r="X286" t="s">
        <v>65</v>
      </c>
      <c r="Z286" t="b">
        <v>0</v>
      </c>
      <c r="AA286" t="s">
        <v>456</v>
      </c>
      <c r="AB286" t="b">
        <v>0</v>
      </c>
      <c r="AD286" s="2"/>
    </row>
    <row r="287" spans="1:30" x14ac:dyDescent="0.25">
      <c r="A287">
        <v>286</v>
      </c>
      <c r="B287" t="s">
        <v>25</v>
      </c>
      <c r="C287" s="3">
        <v>38009</v>
      </c>
      <c r="D287" s="2">
        <f ca="1">DATEDIF(gym_membership[[#This Row],[birthday]],TODAY(),"y")</f>
        <v>22</v>
      </c>
      <c r="E287">
        <v>20</v>
      </c>
      <c r="F287" t="s">
        <v>18</v>
      </c>
      <c r="G287">
        <v>5</v>
      </c>
      <c r="H287" t="s">
        <v>131</v>
      </c>
      <c r="I287" t="s">
        <v>44</v>
      </c>
      <c r="J287" t="s">
        <v>34</v>
      </c>
      <c r="K287" t="s">
        <v>26</v>
      </c>
      <c r="L287" t="s">
        <v>94</v>
      </c>
      <c r="M287" t="s">
        <v>57</v>
      </c>
      <c r="N287" t="b">
        <v>0</v>
      </c>
      <c r="O287" t="s">
        <v>21</v>
      </c>
      <c r="S287" s="1">
        <v>0.84444444444444444</v>
      </c>
      <c r="T287" s="1">
        <v>0.91111111111111109</v>
      </c>
      <c r="U287">
        <v>96</v>
      </c>
      <c r="V287" t="b">
        <v>1</v>
      </c>
      <c r="W287" t="s">
        <v>203</v>
      </c>
      <c r="X287" t="s">
        <v>51</v>
      </c>
      <c r="Y287" t="s">
        <v>39</v>
      </c>
      <c r="Z287" t="b">
        <v>1</v>
      </c>
      <c r="AA287" t="s">
        <v>29</v>
      </c>
      <c r="AB287" t="b">
        <v>0</v>
      </c>
      <c r="AD287" s="2"/>
    </row>
    <row r="288" spans="1:30" x14ac:dyDescent="0.25">
      <c r="A288">
        <v>287</v>
      </c>
      <c r="B288" t="s">
        <v>25</v>
      </c>
      <c r="C288" s="3">
        <v>32057</v>
      </c>
      <c r="D288" s="2">
        <f ca="1">DATEDIF(gym_membership[[#This Row],[birthday]],TODAY(),"y")</f>
        <v>38</v>
      </c>
      <c r="E288">
        <v>37</v>
      </c>
      <c r="F288" t="s">
        <v>18</v>
      </c>
      <c r="G288">
        <v>2</v>
      </c>
      <c r="H288" t="s">
        <v>228</v>
      </c>
      <c r="I288" t="s">
        <v>44</v>
      </c>
      <c r="J288" t="s">
        <v>95</v>
      </c>
      <c r="N288" t="b">
        <v>1</v>
      </c>
      <c r="O288" t="s">
        <v>110</v>
      </c>
      <c r="P288" t="s">
        <v>41</v>
      </c>
      <c r="Q288" t="s">
        <v>103</v>
      </c>
      <c r="S288" s="1">
        <v>0.81874999999999998</v>
      </c>
      <c r="T288" s="1">
        <v>0.86041666666666672</v>
      </c>
      <c r="U288">
        <v>60</v>
      </c>
      <c r="V288" t="b">
        <v>0</v>
      </c>
      <c r="W288" t="s">
        <v>21</v>
      </c>
      <c r="Z288" t="b">
        <v>0</v>
      </c>
      <c r="AA288" t="s">
        <v>456</v>
      </c>
      <c r="AB288" t="b">
        <v>1</v>
      </c>
      <c r="AD288" s="2"/>
    </row>
    <row r="289" spans="1:30" x14ac:dyDescent="0.25">
      <c r="A289">
        <v>288</v>
      </c>
      <c r="B289" t="s">
        <v>25</v>
      </c>
      <c r="C289" s="3">
        <v>30114</v>
      </c>
      <c r="D289" s="2">
        <f ca="1">DATEDIF(gym_membership[[#This Row],[birthday]],TODAY(),"y")</f>
        <v>44</v>
      </c>
      <c r="E289">
        <v>42</v>
      </c>
      <c r="F289" t="s">
        <v>18</v>
      </c>
      <c r="G289">
        <v>5</v>
      </c>
      <c r="H289" t="s">
        <v>117</v>
      </c>
      <c r="I289" t="s">
        <v>44</v>
      </c>
      <c r="J289" t="s">
        <v>34</v>
      </c>
      <c r="K289" t="s">
        <v>26</v>
      </c>
      <c r="L289" t="s">
        <v>95</v>
      </c>
      <c r="M289" t="s">
        <v>57</v>
      </c>
      <c r="N289" t="b">
        <v>0</v>
      </c>
      <c r="O289" t="s">
        <v>21</v>
      </c>
      <c r="S289" s="1">
        <v>0.72916666666666663</v>
      </c>
      <c r="T289" s="1">
        <v>0.84375</v>
      </c>
      <c r="U289">
        <v>165</v>
      </c>
      <c r="V289" t="b">
        <v>1</v>
      </c>
      <c r="W289" t="s">
        <v>39</v>
      </c>
      <c r="X289" t="s">
        <v>39</v>
      </c>
      <c r="Z289" t="b">
        <v>0</v>
      </c>
      <c r="AA289" t="s">
        <v>456</v>
      </c>
      <c r="AB289" t="b">
        <v>1</v>
      </c>
      <c r="AD289" s="2"/>
    </row>
    <row r="290" spans="1:30" x14ac:dyDescent="0.25">
      <c r="A290">
        <v>289</v>
      </c>
      <c r="B290" t="s">
        <v>17</v>
      </c>
      <c r="C290" s="3">
        <v>38096</v>
      </c>
      <c r="D290" s="2">
        <f ca="1">DATEDIF(gym_membership[[#This Row],[birthday]],TODAY(),"y")</f>
        <v>22</v>
      </c>
      <c r="E290">
        <v>20</v>
      </c>
      <c r="F290" t="s">
        <v>18</v>
      </c>
      <c r="G290">
        <v>3</v>
      </c>
      <c r="H290" t="s">
        <v>214</v>
      </c>
      <c r="I290" t="s">
        <v>34</v>
      </c>
      <c r="J290" t="s">
        <v>26</v>
      </c>
      <c r="K290" t="s">
        <v>57</v>
      </c>
      <c r="N290" t="b">
        <v>1</v>
      </c>
      <c r="O290" t="s">
        <v>245</v>
      </c>
      <c r="P290" t="s">
        <v>72</v>
      </c>
      <c r="Q290" t="s">
        <v>120</v>
      </c>
      <c r="S290" s="1">
        <v>0.37013888888888891</v>
      </c>
      <c r="T290" s="1">
        <v>0.46597222222222223</v>
      </c>
      <c r="U290">
        <v>138</v>
      </c>
      <c r="V290" t="b">
        <v>0</v>
      </c>
      <c r="W290" t="s">
        <v>21</v>
      </c>
      <c r="Z290" t="b">
        <v>1</v>
      </c>
      <c r="AA290" t="s">
        <v>29</v>
      </c>
      <c r="AB290" t="b">
        <v>1</v>
      </c>
      <c r="AD290" s="2"/>
    </row>
    <row r="291" spans="1:30" x14ac:dyDescent="0.25">
      <c r="A291">
        <v>290</v>
      </c>
      <c r="B291" t="s">
        <v>17</v>
      </c>
      <c r="C291" s="3">
        <v>35920</v>
      </c>
      <c r="D291" s="2">
        <f ca="1">DATEDIF(gym_membership[[#This Row],[birthday]],TODAY(),"y")</f>
        <v>28</v>
      </c>
      <c r="E291">
        <v>26</v>
      </c>
      <c r="F291" t="s">
        <v>22</v>
      </c>
      <c r="G291">
        <v>2</v>
      </c>
      <c r="H291" t="s">
        <v>126</v>
      </c>
      <c r="I291" t="s">
        <v>94</v>
      </c>
      <c r="J291" t="s">
        <v>57</v>
      </c>
      <c r="N291" t="b">
        <v>1</v>
      </c>
      <c r="O291" t="s">
        <v>215</v>
      </c>
      <c r="P291" t="s">
        <v>27</v>
      </c>
      <c r="Q291" t="s">
        <v>41</v>
      </c>
      <c r="S291" s="1">
        <v>0.66111111111111109</v>
      </c>
      <c r="T291" s="1">
        <v>0.75347222222222221</v>
      </c>
      <c r="U291">
        <v>133</v>
      </c>
      <c r="V291" t="b">
        <v>0</v>
      </c>
      <c r="W291" t="s">
        <v>21</v>
      </c>
      <c r="Z291" t="b">
        <v>0</v>
      </c>
      <c r="AA291" t="s">
        <v>456</v>
      </c>
      <c r="AB291" t="b">
        <v>0</v>
      </c>
      <c r="AD291" s="2"/>
    </row>
    <row r="292" spans="1:30" x14ac:dyDescent="0.25">
      <c r="A292">
        <v>291</v>
      </c>
      <c r="B292" t="s">
        <v>17</v>
      </c>
      <c r="C292" s="3">
        <v>30065</v>
      </c>
      <c r="D292" s="2">
        <f ca="1">DATEDIF(gym_membership[[#This Row],[birthday]],TODAY(),"y")</f>
        <v>44</v>
      </c>
      <c r="E292">
        <v>42</v>
      </c>
      <c r="F292" t="s">
        <v>18</v>
      </c>
      <c r="G292">
        <v>5</v>
      </c>
      <c r="H292" t="s">
        <v>151</v>
      </c>
      <c r="I292" t="s">
        <v>44</v>
      </c>
      <c r="J292" t="s">
        <v>26</v>
      </c>
      <c r="K292" t="s">
        <v>94</v>
      </c>
      <c r="L292" t="s">
        <v>95</v>
      </c>
      <c r="M292" t="s">
        <v>77</v>
      </c>
      <c r="N292" t="b">
        <v>0</v>
      </c>
      <c r="O292" t="s">
        <v>21</v>
      </c>
      <c r="S292" s="1">
        <v>0.40902777777777777</v>
      </c>
      <c r="T292" s="1">
        <v>0.52986111111111112</v>
      </c>
      <c r="U292">
        <v>174</v>
      </c>
      <c r="V292" t="b">
        <v>1</v>
      </c>
      <c r="W292" t="s">
        <v>76</v>
      </c>
      <c r="X292" t="s">
        <v>76</v>
      </c>
      <c r="Z292" t="b">
        <v>0</v>
      </c>
      <c r="AA292" t="s">
        <v>456</v>
      </c>
      <c r="AB292" t="b">
        <v>1</v>
      </c>
      <c r="AD292" s="2"/>
    </row>
    <row r="293" spans="1:30" x14ac:dyDescent="0.25">
      <c r="A293">
        <v>292</v>
      </c>
      <c r="B293" t="s">
        <v>25</v>
      </c>
      <c r="C293" s="3">
        <v>39289</v>
      </c>
      <c r="D293" s="2">
        <f ca="1">DATEDIF(gym_membership[[#This Row],[birthday]],TODAY(),"y")</f>
        <v>19</v>
      </c>
      <c r="E293">
        <v>17</v>
      </c>
      <c r="F293" t="s">
        <v>22</v>
      </c>
      <c r="G293">
        <v>1</v>
      </c>
      <c r="H293" t="s">
        <v>44</v>
      </c>
      <c r="I293" t="s">
        <v>44</v>
      </c>
      <c r="N293" t="b">
        <v>0</v>
      </c>
      <c r="O293" t="s">
        <v>21</v>
      </c>
      <c r="S293" s="1">
        <v>0.70763888888888893</v>
      </c>
      <c r="T293" s="1">
        <v>0.77847222222222223</v>
      </c>
      <c r="U293">
        <v>102</v>
      </c>
      <c r="V293" t="b">
        <v>1</v>
      </c>
      <c r="W293" t="s">
        <v>92</v>
      </c>
      <c r="X293" t="s">
        <v>31</v>
      </c>
      <c r="Y293" t="s">
        <v>51</v>
      </c>
      <c r="Z293" t="b">
        <v>0</v>
      </c>
      <c r="AA293" t="s">
        <v>456</v>
      </c>
      <c r="AB293" t="b">
        <v>0</v>
      </c>
      <c r="AD293" s="2"/>
    </row>
    <row r="294" spans="1:30" x14ac:dyDescent="0.25">
      <c r="A294">
        <v>293</v>
      </c>
      <c r="B294" t="s">
        <v>17</v>
      </c>
      <c r="C294" s="3">
        <v>35919</v>
      </c>
      <c r="D294" s="2">
        <f ca="1">DATEDIF(gym_membership[[#This Row],[birthday]],TODAY(),"y")</f>
        <v>28</v>
      </c>
      <c r="E294">
        <v>26</v>
      </c>
      <c r="F294" t="s">
        <v>18</v>
      </c>
      <c r="G294">
        <v>1</v>
      </c>
      <c r="H294" t="s">
        <v>95</v>
      </c>
      <c r="I294" t="s">
        <v>95</v>
      </c>
      <c r="N294" t="b">
        <v>1</v>
      </c>
      <c r="O294" t="s">
        <v>246</v>
      </c>
      <c r="P294" t="s">
        <v>103</v>
      </c>
      <c r="Q294" t="s">
        <v>120</v>
      </c>
      <c r="S294" s="1">
        <v>0.68819444444444444</v>
      </c>
      <c r="T294" s="1">
        <v>0.74097222222222225</v>
      </c>
      <c r="U294">
        <v>76</v>
      </c>
      <c r="V294" t="b">
        <v>1</v>
      </c>
      <c r="W294" t="s">
        <v>167</v>
      </c>
      <c r="X294" t="s">
        <v>65</v>
      </c>
      <c r="Y294" t="s">
        <v>31</v>
      </c>
      <c r="Z294" t="b">
        <v>1</v>
      </c>
      <c r="AA294" t="s">
        <v>45</v>
      </c>
      <c r="AB294" t="b">
        <v>1</v>
      </c>
      <c r="AD294" s="2"/>
    </row>
    <row r="295" spans="1:30" x14ac:dyDescent="0.25">
      <c r="A295">
        <v>294</v>
      </c>
      <c r="B295" t="s">
        <v>17</v>
      </c>
      <c r="C295" s="3">
        <v>30561</v>
      </c>
      <c r="D295" s="2">
        <f ca="1">DATEDIF(gym_membership[[#This Row],[birthday]],TODAY(),"y")</f>
        <v>42</v>
      </c>
      <c r="E295">
        <v>41</v>
      </c>
      <c r="F295" t="s">
        <v>18</v>
      </c>
      <c r="G295">
        <v>1</v>
      </c>
      <c r="H295" t="s">
        <v>77</v>
      </c>
      <c r="I295" t="s">
        <v>77</v>
      </c>
      <c r="N295" t="b">
        <v>1</v>
      </c>
      <c r="O295" t="s">
        <v>103</v>
      </c>
      <c r="P295" t="s">
        <v>103</v>
      </c>
      <c r="S295" s="1">
        <v>0.55138888888888893</v>
      </c>
      <c r="T295" s="1">
        <v>0.64861111111111114</v>
      </c>
      <c r="U295">
        <v>140</v>
      </c>
      <c r="V295" t="b">
        <v>0</v>
      </c>
      <c r="W295" t="s">
        <v>21</v>
      </c>
      <c r="Z295" t="b">
        <v>0</v>
      </c>
      <c r="AA295" t="s">
        <v>456</v>
      </c>
      <c r="AB295" t="b">
        <v>0</v>
      </c>
      <c r="AD295" s="2"/>
    </row>
    <row r="296" spans="1:30" x14ac:dyDescent="0.25">
      <c r="A296">
        <v>295</v>
      </c>
      <c r="B296" t="s">
        <v>25</v>
      </c>
      <c r="C296" s="3">
        <v>32425</v>
      </c>
      <c r="D296" s="2">
        <f ca="1">DATEDIF(gym_membership[[#This Row],[birthday]],TODAY(),"y")</f>
        <v>37</v>
      </c>
      <c r="E296">
        <v>36</v>
      </c>
      <c r="F296" t="s">
        <v>22</v>
      </c>
      <c r="G296">
        <v>3</v>
      </c>
      <c r="H296" t="s">
        <v>46</v>
      </c>
      <c r="I296" t="s">
        <v>44</v>
      </c>
      <c r="J296" t="s">
        <v>95</v>
      </c>
      <c r="K296" t="s">
        <v>77</v>
      </c>
      <c r="N296" t="b">
        <v>0</v>
      </c>
      <c r="O296" t="s">
        <v>21</v>
      </c>
      <c r="S296" s="1">
        <v>0.64444444444444449</v>
      </c>
      <c r="T296" s="1">
        <v>0.74791666666666667</v>
      </c>
      <c r="U296">
        <v>149</v>
      </c>
      <c r="V296" t="b">
        <v>1</v>
      </c>
      <c r="W296" t="s">
        <v>241</v>
      </c>
      <c r="X296" t="s">
        <v>39</v>
      </c>
      <c r="Y296" t="s">
        <v>59</v>
      </c>
      <c r="Z296" t="b">
        <v>0</v>
      </c>
      <c r="AA296" t="s">
        <v>456</v>
      </c>
      <c r="AB296" t="b">
        <v>0</v>
      </c>
      <c r="AD296" s="2"/>
    </row>
    <row r="297" spans="1:30" x14ac:dyDescent="0.25">
      <c r="A297">
        <v>296</v>
      </c>
      <c r="B297" t="s">
        <v>17</v>
      </c>
      <c r="C297" s="3">
        <v>36890</v>
      </c>
      <c r="D297" s="2">
        <f ca="1">DATEDIF(gym_membership[[#This Row],[birthday]],TODAY(),"y")</f>
        <v>25</v>
      </c>
      <c r="E297">
        <v>23</v>
      </c>
      <c r="F297" t="s">
        <v>22</v>
      </c>
      <c r="G297">
        <v>4</v>
      </c>
      <c r="H297" t="s">
        <v>247</v>
      </c>
      <c r="I297" t="s">
        <v>44</v>
      </c>
      <c r="J297" t="s">
        <v>94</v>
      </c>
      <c r="K297" t="s">
        <v>95</v>
      </c>
      <c r="L297" t="s">
        <v>77</v>
      </c>
      <c r="N297" t="b">
        <v>0</v>
      </c>
      <c r="O297" t="s">
        <v>21</v>
      </c>
      <c r="S297" s="1">
        <v>0.4284722222222222</v>
      </c>
      <c r="T297" s="1">
        <v>0.51458333333333328</v>
      </c>
      <c r="U297">
        <v>124</v>
      </c>
      <c r="V297" t="b">
        <v>1</v>
      </c>
      <c r="W297" t="s">
        <v>167</v>
      </c>
      <c r="X297" t="s">
        <v>65</v>
      </c>
      <c r="Y297" t="s">
        <v>31</v>
      </c>
      <c r="Z297" t="b">
        <v>0</v>
      </c>
      <c r="AA297" t="s">
        <v>456</v>
      </c>
      <c r="AB297" t="b">
        <v>1</v>
      </c>
      <c r="AD297" s="2"/>
    </row>
    <row r="298" spans="1:30" x14ac:dyDescent="0.25">
      <c r="A298">
        <v>297</v>
      </c>
      <c r="B298" t="s">
        <v>25</v>
      </c>
      <c r="C298" s="3">
        <v>34463</v>
      </c>
      <c r="D298" s="2">
        <f ca="1">DATEDIF(gym_membership[[#This Row],[birthday]],TODAY(),"y")</f>
        <v>32</v>
      </c>
      <c r="E298">
        <v>30</v>
      </c>
      <c r="F298" t="s">
        <v>22</v>
      </c>
      <c r="G298">
        <v>5</v>
      </c>
      <c r="H298" t="s">
        <v>248</v>
      </c>
      <c r="I298" t="s">
        <v>44</v>
      </c>
      <c r="J298" t="s">
        <v>34</v>
      </c>
      <c r="K298" t="s">
        <v>94</v>
      </c>
      <c r="L298" t="s">
        <v>95</v>
      </c>
      <c r="M298" t="s">
        <v>77</v>
      </c>
      <c r="N298" t="b">
        <v>0</v>
      </c>
      <c r="O298" t="s">
        <v>21</v>
      </c>
      <c r="S298" s="1">
        <v>0.72847222222222219</v>
      </c>
      <c r="T298" s="1">
        <v>0.76736111111111116</v>
      </c>
      <c r="U298">
        <v>56</v>
      </c>
      <c r="V298" t="b">
        <v>0</v>
      </c>
      <c r="W298" t="s">
        <v>21</v>
      </c>
      <c r="Z298" t="b">
        <v>1</v>
      </c>
      <c r="AA298" t="s">
        <v>43</v>
      </c>
      <c r="AB298" t="b">
        <v>0</v>
      </c>
      <c r="AD298" s="2"/>
    </row>
    <row r="299" spans="1:30" x14ac:dyDescent="0.25">
      <c r="A299">
        <v>298</v>
      </c>
      <c r="B299" t="s">
        <v>17</v>
      </c>
      <c r="C299" s="3">
        <v>32972</v>
      </c>
      <c r="D299" s="2">
        <f ca="1">DATEDIF(gym_membership[[#This Row],[birthday]],TODAY(),"y")</f>
        <v>36</v>
      </c>
      <c r="E299">
        <v>34</v>
      </c>
      <c r="F299" t="s">
        <v>18</v>
      </c>
      <c r="G299">
        <v>2</v>
      </c>
      <c r="H299" t="s">
        <v>133</v>
      </c>
      <c r="I299" t="s">
        <v>34</v>
      </c>
      <c r="J299" t="s">
        <v>94</v>
      </c>
      <c r="N299" t="b">
        <v>0</v>
      </c>
      <c r="O299" t="s">
        <v>21</v>
      </c>
      <c r="S299" s="1">
        <v>0.80347222222222225</v>
      </c>
      <c r="T299" s="1">
        <v>0.85416666666666663</v>
      </c>
      <c r="U299">
        <v>73</v>
      </c>
      <c r="V299" t="b">
        <v>0</v>
      </c>
      <c r="W299" t="s">
        <v>21</v>
      </c>
      <c r="Z299" t="b">
        <v>1</v>
      </c>
      <c r="AA299" t="s">
        <v>24</v>
      </c>
      <c r="AB299" t="b">
        <v>1</v>
      </c>
      <c r="AD299" s="2"/>
    </row>
    <row r="300" spans="1:30" x14ac:dyDescent="0.25">
      <c r="A300">
        <v>299</v>
      </c>
      <c r="B300" t="s">
        <v>17</v>
      </c>
      <c r="C300" s="3">
        <v>29672</v>
      </c>
      <c r="D300" s="2">
        <f ca="1">DATEDIF(gym_membership[[#This Row],[birthday]],TODAY(),"y")</f>
        <v>45</v>
      </c>
      <c r="E300">
        <v>43</v>
      </c>
      <c r="F300" t="s">
        <v>18</v>
      </c>
      <c r="G300">
        <v>5</v>
      </c>
      <c r="H300" t="s">
        <v>74</v>
      </c>
      <c r="I300" t="s">
        <v>44</v>
      </c>
      <c r="J300" t="s">
        <v>26</v>
      </c>
      <c r="K300" t="s">
        <v>94</v>
      </c>
      <c r="L300" t="s">
        <v>57</v>
      </c>
      <c r="M300" t="s">
        <v>77</v>
      </c>
      <c r="N300" t="b">
        <v>0</v>
      </c>
      <c r="O300" t="s">
        <v>21</v>
      </c>
      <c r="S300" s="1">
        <v>0.52152777777777781</v>
      </c>
      <c r="T300" s="1">
        <v>0.59097222222222223</v>
      </c>
      <c r="U300">
        <v>100</v>
      </c>
      <c r="V300" t="b">
        <v>1</v>
      </c>
      <c r="W300" t="s">
        <v>205</v>
      </c>
      <c r="X300" t="s">
        <v>59</v>
      </c>
      <c r="Y300" t="s">
        <v>31</v>
      </c>
      <c r="Z300" t="b">
        <v>1</v>
      </c>
      <c r="AA300" t="s">
        <v>29</v>
      </c>
      <c r="AB300" t="b">
        <v>0</v>
      </c>
      <c r="AD300" s="2"/>
    </row>
    <row r="301" spans="1:30" x14ac:dyDescent="0.25">
      <c r="A301">
        <v>300</v>
      </c>
      <c r="B301" t="s">
        <v>25</v>
      </c>
      <c r="C301" s="3">
        <v>40733</v>
      </c>
      <c r="D301" s="2">
        <f ca="1">DATEDIF(gym_membership[[#This Row],[birthday]],TODAY(),"y")</f>
        <v>15</v>
      </c>
      <c r="E301">
        <v>13</v>
      </c>
      <c r="F301" t="s">
        <v>18</v>
      </c>
      <c r="G301">
        <v>3</v>
      </c>
      <c r="H301" t="s">
        <v>23</v>
      </c>
      <c r="I301" t="s">
        <v>34</v>
      </c>
      <c r="J301" t="s">
        <v>26</v>
      </c>
      <c r="K301" t="s">
        <v>77</v>
      </c>
      <c r="N301" t="b">
        <v>1</v>
      </c>
      <c r="O301" t="s">
        <v>249</v>
      </c>
      <c r="P301" t="s">
        <v>100</v>
      </c>
      <c r="Q301" t="s">
        <v>27</v>
      </c>
      <c r="R301" t="s">
        <v>91</v>
      </c>
      <c r="S301" s="1">
        <v>0.62013888888888891</v>
      </c>
      <c r="T301" s="1">
        <v>0.66319444444444442</v>
      </c>
      <c r="U301">
        <v>62</v>
      </c>
      <c r="V301" t="b">
        <v>0</v>
      </c>
      <c r="W301" t="s">
        <v>21</v>
      </c>
      <c r="Z301" t="b">
        <v>0</v>
      </c>
      <c r="AA301" t="s">
        <v>456</v>
      </c>
      <c r="AB301" t="b">
        <v>0</v>
      </c>
      <c r="AD301" s="2"/>
    </row>
    <row r="302" spans="1:30" x14ac:dyDescent="0.25">
      <c r="A302">
        <v>301</v>
      </c>
      <c r="B302" t="s">
        <v>17</v>
      </c>
      <c r="C302" s="3">
        <v>36995</v>
      </c>
      <c r="D302" s="2">
        <f ca="1">DATEDIF(gym_membership[[#This Row],[birthday]],TODAY(),"y")</f>
        <v>25</v>
      </c>
      <c r="E302">
        <v>23</v>
      </c>
      <c r="F302" t="s">
        <v>18</v>
      </c>
      <c r="G302">
        <v>3</v>
      </c>
      <c r="H302" t="s">
        <v>193</v>
      </c>
      <c r="I302" t="s">
        <v>44</v>
      </c>
      <c r="J302" t="s">
        <v>26</v>
      </c>
      <c r="K302" t="s">
        <v>95</v>
      </c>
      <c r="N302" t="b">
        <v>1</v>
      </c>
      <c r="O302" t="s">
        <v>250</v>
      </c>
      <c r="P302" t="s">
        <v>120</v>
      </c>
      <c r="Q302" t="s">
        <v>91</v>
      </c>
      <c r="R302" t="s">
        <v>103</v>
      </c>
      <c r="S302" s="1">
        <v>0.54583333333333328</v>
      </c>
      <c r="T302" s="1">
        <v>0.60763888888888884</v>
      </c>
      <c r="U302">
        <v>89</v>
      </c>
      <c r="V302" t="b">
        <v>1</v>
      </c>
      <c r="W302" t="s">
        <v>241</v>
      </c>
      <c r="X302" t="s">
        <v>39</v>
      </c>
      <c r="Y302" t="s">
        <v>59</v>
      </c>
      <c r="Z302" t="b">
        <v>1</v>
      </c>
      <c r="AA302" t="s">
        <v>24</v>
      </c>
      <c r="AB302" t="b">
        <v>0</v>
      </c>
      <c r="AD302" s="2"/>
    </row>
    <row r="303" spans="1:30" x14ac:dyDescent="0.25">
      <c r="A303">
        <v>302</v>
      </c>
      <c r="B303" t="s">
        <v>25</v>
      </c>
      <c r="C303" s="3">
        <v>28858</v>
      </c>
      <c r="D303" s="2">
        <f ca="1">DATEDIF(gym_membership[[#This Row],[birthday]],TODAY(),"y")</f>
        <v>47</v>
      </c>
      <c r="E303">
        <v>45</v>
      </c>
      <c r="F303" t="s">
        <v>22</v>
      </c>
      <c r="G303">
        <v>3</v>
      </c>
      <c r="H303" t="s">
        <v>161</v>
      </c>
      <c r="I303" t="s">
        <v>44</v>
      </c>
      <c r="J303" t="s">
        <v>57</v>
      </c>
      <c r="K303" t="s">
        <v>77</v>
      </c>
      <c r="N303" t="b">
        <v>1</v>
      </c>
      <c r="O303" t="s">
        <v>41</v>
      </c>
      <c r="P303" t="s">
        <v>41</v>
      </c>
      <c r="S303" s="1">
        <v>0.53333333333333333</v>
      </c>
      <c r="T303" s="1">
        <v>0.64166666666666672</v>
      </c>
      <c r="U303">
        <v>156</v>
      </c>
      <c r="V303" t="b">
        <v>0</v>
      </c>
      <c r="W303" t="s">
        <v>21</v>
      </c>
      <c r="Z303" t="b">
        <v>1</v>
      </c>
      <c r="AA303" t="s">
        <v>43</v>
      </c>
      <c r="AB303" t="b">
        <v>1</v>
      </c>
      <c r="AD303" s="2"/>
    </row>
    <row r="304" spans="1:30" x14ac:dyDescent="0.25">
      <c r="A304">
        <v>303</v>
      </c>
      <c r="B304" t="s">
        <v>17</v>
      </c>
      <c r="C304" s="3">
        <v>29974</v>
      </c>
      <c r="D304" s="2">
        <f ca="1">DATEDIF(gym_membership[[#This Row],[birthday]],TODAY(),"y")</f>
        <v>44</v>
      </c>
      <c r="E304">
        <v>42</v>
      </c>
      <c r="F304" t="s">
        <v>22</v>
      </c>
      <c r="G304">
        <v>3</v>
      </c>
      <c r="H304" t="s">
        <v>81</v>
      </c>
      <c r="I304" t="s">
        <v>94</v>
      </c>
      <c r="J304" t="s">
        <v>95</v>
      </c>
      <c r="K304" t="s">
        <v>77</v>
      </c>
      <c r="N304" t="b">
        <v>0</v>
      </c>
      <c r="O304" t="s">
        <v>21</v>
      </c>
      <c r="S304" s="1">
        <v>0.56388888888888888</v>
      </c>
      <c r="T304" s="1">
        <v>0.62222222222222223</v>
      </c>
      <c r="U304">
        <v>84</v>
      </c>
      <c r="V304" t="b">
        <v>0</v>
      </c>
      <c r="W304" t="s">
        <v>21</v>
      </c>
      <c r="Z304" t="b">
        <v>1</v>
      </c>
      <c r="AA304" t="s">
        <v>45</v>
      </c>
      <c r="AB304" t="b">
        <v>1</v>
      </c>
      <c r="AD304" s="2"/>
    </row>
    <row r="305" spans="1:30" x14ac:dyDescent="0.25">
      <c r="A305">
        <v>304</v>
      </c>
      <c r="B305" t="s">
        <v>25</v>
      </c>
      <c r="C305" s="3">
        <v>32505</v>
      </c>
      <c r="D305" s="2">
        <f ca="1">DATEDIF(gym_membership[[#This Row],[birthday]],TODAY(),"y")</f>
        <v>37</v>
      </c>
      <c r="E305">
        <v>35</v>
      </c>
      <c r="F305" t="s">
        <v>22</v>
      </c>
      <c r="G305">
        <v>1</v>
      </c>
      <c r="H305" t="s">
        <v>26</v>
      </c>
      <c r="I305" t="s">
        <v>26</v>
      </c>
      <c r="N305" t="b">
        <v>0</v>
      </c>
      <c r="O305" t="s">
        <v>21</v>
      </c>
      <c r="S305" s="1">
        <v>0.57847222222222228</v>
      </c>
      <c r="T305" s="1">
        <v>0.60624999999999996</v>
      </c>
      <c r="U305">
        <v>40</v>
      </c>
      <c r="V305" t="b">
        <v>0</v>
      </c>
      <c r="W305" t="s">
        <v>21</v>
      </c>
      <c r="Z305" t="b">
        <v>0</v>
      </c>
      <c r="AA305" t="s">
        <v>456</v>
      </c>
      <c r="AB305" t="b">
        <v>0</v>
      </c>
      <c r="AD305" s="2"/>
    </row>
    <row r="306" spans="1:30" x14ac:dyDescent="0.25">
      <c r="A306">
        <v>305</v>
      </c>
      <c r="B306" t="s">
        <v>25</v>
      </c>
      <c r="C306" s="3">
        <v>36009</v>
      </c>
      <c r="D306" s="2">
        <f ca="1">DATEDIF(gym_membership[[#This Row],[birthday]],TODAY(),"y")</f>
        <v>28</v>
      </c>
      <c r="E306">
        <v>26</v>
      </c>
      <c r="F306" t="s">
        <v>22</v>
      </c>
      <c r="G306">
        <v>4</v>
      </c>
      <c r="H306" t="s">
        <v>251</v>
      </c>
      <c r="I306" t="s">
        <v>26</v>
      </c>
      <c r="J306" t="s">
        <v>94</v>
      </c>
      <c r="K306" t="s">
        <v>95</v>
      </c>
      <c r="L306" t="s">
        <v>77</v>
      </c>
      <c r="N306" t="b">
        <v>1</v>
      </c>
      <c r="O306" t="s">
        <v>252</v>
      </c>
      <c r="P306" t="s">
        <v>100</v>
      </c>
      <c r="Q306" t="s">
        <v>128</v>
      </c>
      <c r="R306" t="s">
        <v>91</v>
      </c>
      <c r="S306" s="1">
        <v>0.36666666666666664</v>
      </c>
      <c r="T306" s="1">
        <v>0.44097222222222221</v>
      </c>
      <c r="U306">
        <v>107</v>
      </c>
      <c r="V306" t="b">
        <v>0</v>
      </c>
      <c r="W306" t="s">
        <v>21</v>
      </c>
      <c r="Z306" t="b">
        <v>0</v>
      </c>
      <c r="AA306" t="s">
        <v>456</v>
      </c>
      <c r="AB306" t="b">
        <v>0</v>
      </c>
      <c r="AD306" s="2"/>
    </row>
    <row r="307" spans="1:30" x14ac:dyDescent="0.25">
      <c r="A307">
        <v>306</v>
      </c>
      <c r="B307" t="s">
        <v>25</v>
      </c>
      <c r="C307" s="3">
        <v>37922</v>
      </c>
      <c r="D307" s="2">
        <f ca="1">DATEDIF(gym_membership[[#This Row],[birthday]],TODAY(),"y")</f>
        <v>22</v>
      </c>
      <c r="E307">
        <v>20</v>
      </c>
      <c r="F307" t="s">
        <v>22</v>
      </c>
      <c r="G307">
        <v>2</v>
      </c>
      <c r="H307" t="s">
        <v>132</v>
      </c>
      <c r="I307" t="s">
        <v>44</v>
      </c>
      <c r="J307" t="s">
        <v>94</v>
      </c>
      <c r="N307" t="b">
        <v>1</v>
      </c>
      <c r="O307" t="s">
        <v>253</v>
      </c>
      <c r="P307" t="s">
        <v>128</v>
      </c>
      <c r="Q307" t="s">
        <v>91</v>
      </c>
      <c r="R307" t="s">
        <v>103</v>
      </c>
      <c r="S307" s="1">
        <v>0.4909722222222222</v>
      </c>
      <c r="T307" s="1">
        <v>0.59027777777777779</v>
      </c>
      <c r="U307">
        <v>143</v>
      </c>
      <c r="V307" t="b">
        <v>1</v>
      </c>
      <c r="W307" t="s">
        <v>65</v>
      </c>
      <c r="X307" t="s">
        <v>65</v>
      </c>
      <c r="Z307" t="b">
        <v>1</v>
      </c>
      <c r="AA307" t="s">
        <v>24</v>
      </c>
      <c r="AB307" t="b">
        <v>1</v>
      </c>
      <c r="AD307" s="2"/>
    </row>
    <row r="308" spans="1:30" x14ac:dyDescent="0.25">
      <c r="A308">
        <v>307</v>
      </c>
      <c r="B308" t="s">
        <v>17</v>
      </c>
      <c r="C308" s="3">
        <v>33700</v>
      </c>
      <c r="D308" s="2">
        <f ca="1">DATEDIF(gym_membership[[#This Row],[birthday]],TODAY(),"y")</f>
        <v>34</v>
      </c>
      <c r="E308">
        <v>32</v>
      </c>
      <c r="F308" t="s">
        <v>22</v>
      </c>
      <c r="G308">
        <v>3</v>
      </c>
      <c r="H308" t="s">
        <v>122</v>
      </c>
      <c r="I308" t="s">
        <v>34</v>
      </c>
      <c r="J308" t="s">
        <v>94</v>
      </c>
      <c r="K308" t="s">
        <v>77</v>
      </c>
      <c r="N308" t="b">
        <v>0</v>
      </c>
      <c r="O308" t="s">
        <v>21</v>
      </c>
      <c r="S308" s="1">
        <v>0.72916666666666663</v>
      </c>
      <c r="T308" s="1">
        <v>0.84305555555555556</v>
      </c>
      <c r="U308">
        <v>164</v>
      </c>
      <c r="V308" t="b">
        <v>0</v>
      </c>
      <c r="W308" t="s">
        <v>21</v>
      </c>
      <c r="Z308" t="b">
        <v>1</v>
      </c>
      <c r="AA308" t="s">
        <v>24</v>
      </c>
      <c r="AB308" t="b">
        <v>1</v>
      </c>
      <c r="AD308" s="2"/>
    </row>
    <row r="309" spans="1:30" x14ac:dyDescent="0.25">
      <c r="A309">
        <v>308</v>
      </c>
      <c r="B309" t="s">
        <v>17</v>
      </c>
      <c r="C309" s="3">
        <v>34152</v>
      </c>
      <c r="D309" s="2">
        <f ca="1">DATEDIF(gym_membership[[#This Row],[birthday]],TODAY(),"y")</f>
        <v>33</v>
      </c>
      <c r="E309">
        <v>31</v>
      </c>
      <c r="F309" t="s">
        <v>18</v>
      </c>
      <c r="G309">
        <v>4</v>
      </c>
      <c r="H309" t="s">
        <v>113</v>
      </c>
      <c r="I309" t="s">
        <v>44</v>
      </c>
      <c r="J309" t="s">
        <v>34</v>
      </c>
      <c r="K309" t="s">
        <v>26</v>
      </c>
      <c r="L309" t="s">
        <v>95</v>
      </c>
      <c r="N309" t="b">
        <v>0</v>
      </c>
      <c r="O309" t="s">
        <v>21</v>
      </c>
      <c r="S309" s="1">
        <v>0.49583333333333335</v>
      </c>
      <c r="T309" s="1">
        <v>0.55625000000000002</v>
      </c>
      <c r="U309">
        <v>87</v>
      </c>
      <c r="V309" t="b">
        <v>0</v>
      </c>
      <c r="W309" t="s">
        <v>21</v>
      </c>
      <c r="Z309" t="b">
        <v>0</v>
      </c>
      <c r="AA309" t="s">
        <v>456</v>
      </c>
      <c r="AB309" t="b">
        <v>1</v>
      </c>
      <c r="AD309" s="2"/>
    </row>
    <row r="310" spans="1:30" x14ac:dyDescent="0.25">
      <c r="A310">
        <v>309</v>
      </c>
      <c r="B310" t="s">
        <v>25</v>
      </c>
      <c r="C310" s="3">
        <v>34878</v>
      </c>
      <c r="D310" s="2">
        <f ca="1">DATEDIF(gym_membership[[#This Row],[birthday]],TODAY(),"y")</f>
        <v>31</v>
      </c>
      <c r="E310">
        <v>29</v>
      </c>
      <c r="F310" t="s">
        <v>22</v>
      </c>
      <c r="G310">
        <v>3</v>
      </c>
      <c r="H310" t="s">
        <v>164</v>
      </c>
      <c r="I310" t="s">
        <v>34</v>
      </c>
      <c r="J310" t="s">
        <v>26</v>
      </c>
      <c r="K310" t="s">
        <v>95</v>
      </c>
      <c r="N310" t="b">
        <v>0</v>
      </c>
      <c r="O310" t="s">
        <v>21</v>
      </c>
      <c r="S310" s="1">
        <v>0.62847222222222221</v>
      </c>
      <c r="T310" s="1">
        <v>0.67986111111111114</v>
      </c>
      <c r="U310">
        <v>74</v>
      </c>
      <c r="V310" t="b">
        <v>0</v>
      </c>
      <c r="W310" t="s">
        <v>21</v>
      </c>
      <c r="Z310" t="b">
        <v>1</v>
      </c>
      <c r="AA310" t="s">
        <v>29</v>
      </c>
      <c r="AB310" t="b">
        <v>1</v>
      </c>
      <c r="AD310" s="2"/>
    </row>
    <row r="311" spans="1:30" x14ac:dyDescent="0.25">
      <c r="A311">
        <v>310</v>
      </c>
      <c r="B311" t="s">
        <v>25</v>
      </c>
      <c r="C311" s="3">
        <v>32912</v>
      </c>
      <c r="D311" s="2">
        <f ca="1">DATEDIF(gym_membership[[#This Row],[birthday]],TODAY(),"y")</f>
        <v>36</v>
      </c>
      <c r="E311">
        <v>34</v>
      </c>
      <c r="F311" t="s">
        <v>22</v>
      </c>
      <c r="G311">
        <v>2</v>
      </c>
      <c r="H311" t="s">
        <v>133</v>
      </c>
      <c r="I311" t="s">
        <v>34</v>
      </c>
      <c r="J311" t="s">
        <v>94</v>
      </c>
      <c r="N311" t="b">
        <v>1</v>
      </c>
      <c r="O311" t="s">
        <v>254</v>
      </c>
      <c r="P311" t="s">
        <v>41</v>
      </c>
      <c r="Q311" t="s">
        <v>58</v>
      </c>
      <c r="R311" t="s">
        <v>128</v>
      </c>
      <c r="S311" s="1">
        <v>0.8041666666666667</v>
      </c>
      <c r="T311" s="1">
        <v>0.82847222222222228</v>
      </c>
      <c r="U311">
        <v>35</v>
      </c>
      <c r="V311" t="b">
        <v>0</v>
      </c>
      <c r="W311" t="s">
        <v>21</v>
      </c>
      <c r="Z311" t="b">
        <v>1</v>
      </c>
      <c r="AA311" t="s">
        <v>24</v>
      </c>
      <c r="AB311" t="b">
        <v>1</v>
      </c>
      <c r="AD311" s="2"/>
    </row>
    <row r="312" spans="1:30" x14ac:dyDescent="0.25">
      <c r="A312">
        <v>311</v>
      </c>
      <c r="B312" t="s">
        <v>17</v>
      </c>
      <c r="C312" s="3">
        <v>29422</v>
      </c>
      <c r="D312" s="2">
        <f ca="1">DATEDIF(gym_membership[[#This Row],[birthday]],TODAY(),"y")</f>
        <v>46</v>
      </c>
      <c r="E312">
        <v>44</v>
      </c>
      <c r="F312" t="s">
        <v>22</v>
      </c>
      <c r="G312">
        <v>1</v>
      </c>
      <c r="H312" t="s">
        <v>34</v>
      </c>
      <c r="I312" t="s">
        <v>34</v>
      </c>
      <c r="N312" t="b">
        <v>0</v>
      </c>
      <c r="O312" t="s">
        <v>21</v>
      </c>
      <c r="S312" s="1">
        <v>0.7368055555555556</v>
      </c>
      <c r="T312" s="1">
        <v>0.76041666666666663</v>
      </c>
      <c r="U312">
        <v>34</v>
      </c>
      <c r="V312" t="b">
        <v>1</v>
      </c>
      <c r="W312" t="s">
        <v>172</v>
      </c>
      <c r="X312" t="s">
        <v>65</v>
      </c>
      <c r="Y312" t="s">
        <v>59</v>
      </c>
      <c r="Z312" t="b">
        <v>1</v>
      </c>
      <c r="AA312" t="s">
        <v>24</v>
      </c>
      <c r="AB312" t="b">
        <v>0</v>
      </c>
      <c r="AD312" s="2"/>
    </row>
    <row r="313" spans="1:30" x14ac:dyDescent="0.25">
      <c r="A313">
        <v>312</v>
      </c>
      <c r="B313" t="s">
        <v>25</v>
      </c>
      <c r="C313" s="3">
        <v>37410</v>
      </c>
      <c r="D313" s="2">
        <f ca="1">DATEDIF(gym_membership[[#This Row],[birthday]],TODAY(),"y")</f>
        <v>24</v>
      </c>
      <c r="E313">
        <v>22</v>
      </c>
      <c r="F313" t="s">
        <v>18</v>
      </c>
      <c r="G313">
        <v>5</v>
      </c>
      <c r="H313" t="s">
        <v>135</v>
      </c>
      <c r="I313" t="s">
        <v>44</v>
      </c>
      <c r="J313" t="s">
        <v>26</v>
      </c>
      <c r="K313" t="s">
        <v>95</v>
      </c>
      <c r="L313" t="s">
        <v>57</v>
      </c>
      <c r="M313" t="s">
        <v>77</v>
      </c>
      <c r="N313" t="b">
        <v>1</v>
      </c>
      <c r="O313" t="s">
        <v>91</v>
      </c>
      <c r="P313" t="s">
        <v>91</v>
      </c>
      <c r="S313" s="1">
        <v>0.7368055555555556</v>
      </c>
      <c r="T313" s="1">
        <v>0.81319444444444444</v>
      </c>
      <c r="U313">
        <v>110</v>
      </c>
      <c r="V313" t="b">
        <v>0</v>
      </c>
      <c r="W313" t="s">
        <v>21</v>
      </c>
      <c r="Z313" t="b">
        <v>0</v>
      </c>
      <c r="AA313" t="s">
        <v>456</v>
      </c>
      <c r="AB313" t="b">
        <v>0</v>
      </c>
      <c r="AD313" s="2"/>
    </row>
    <row r="314" spans="1:30" x14ac:dyDescent="0.25">
      <c r="A314">
        <v>313</v>
      </c>
      <c r="B314" t="s">
        <v>25</v>
      </c>
      <c r="C314" s="3">
        <v>27756</v>
      </c>
      <c r="D314" s="2">
        <f ca="1">DATEDIF(gym_membership[[#This Row],[birthday]],TODAY(),"y")</f>
        <v>50</v>
      </c>
      <c r="E314">
        <v>48</v>
      </c>
      <c r="F314" t="s">
        <v>22</v>
      </c>
      <c r="G314">
        <v>1</v>
      </c>
      <c r="H314" t="s">
        <v>57</v>
      </c>
      <c r="I314" t="s">
        <v>57</v>
      </c>
      <c r="N314" t="b">
        <v>1</v>
      </c>
      <c r="O314" t="s">
        <v>255</v>
      </c>
      <c r="P314" t="s">
        <v>41</v>
      </c>
      <c r="Q314" t="s">
        <v>67</v>
      </c>
      <c r="S314" s="1">
        <v>0.81180555555555556</v>
      </c>
      <c r="T314" s="1">
        <v>0.93125000000000002</v>
      </c>
      <c r="U314">
        <v>172</v>
      </c>
      <c r="V314" t="b">
        <v>1</v>
      </c>
      <c r="W314" t="s">
        <v>124</v>
      </c>
      <c r="X314" t="s">
        <v>31</v>
      </c>
      <c r="Y314" t="s">
        <v>39</v>
      </c>
      <c r="Z314" t="b">
        <v>0</v>
      </c>
      <c r="AA314" t="s">
        <v>456</v>
      </c>
      <c r="AB314" t="b">
        <v>1</v>
      </c>
      <c r="AD314" s="2"/>
    </row>
    <row r="315" spans="1:30" x14ac:dyDescent="0.25">
      <c r="A315">
        <v>314</v>
      </c>
      <c r="B315" t="s">
        <v>25</v>
      </c>
      <c r="C315" s="3">
        <v>32208</v>
      </c>
      <c r="D315" s="2">
        <f ca="1">DATEDIF(gym_membership[[#This Row],[birthday]],TODAY(),"y")</f>
        <v>38</v>
      </c>
      <c r="E315">
        <v>36</v>
      </c>
      <c r="F315" t="s">
        <v>22</v>
      </c>
      <c r="G315">
        <v>1</v>
      </c>
      <c r="H315" t="s">
        <v>94</v>
      </c>
      <c r="I315" t="s">
        <v>94</v>
      </c>
      <c r="N315" t="b">
        <v>0</v>
      </c>
      <c r="O315" t="s">
        <v>21</v>
      </c>
      <c r="S315" s="1">
        <v>0.80555555555555558</v>
      </c>
      <c r="T315" s="1">
        <v>0.91527777777777775</v>
      </c>
      <c r="U315">
        <v>158</v>
      </c>
      <c r="V315" t="b">
        <v>1</v>
      </c>
      <c r="W315" t="s">
        <v>39</v>
      </c>
      <c r="X315" t="s">
        <v>39</v>
      </c>
      <c r="Z315" t="b">
        <v>0</v>
      </c>
      <c r="AA315" t="s">
        <v>456</v>
      </c>
      <c r="AB315" t="b">
        <v>0</v>
      </c>
      <c r="AD315" s="2"/>
    </row>
    <row r="316" spans="1:30" x14ac:dyDescent="0.25">
      <c r="A316">
        <v>315</v>
      </c>
      <c r="B316" t="s">
        <v>25</v>
      </c>
      <c r="C316" s="3">
        <v>39507</v>
      </c>
      <c r="D316" s="2">
        <f ca="1">DATEDIF(gym_membership[[#This Row],[birthday]],TODAY(),"y")</f>
        <v>18</v>
      </c>
      <c r="E316">
        <v>16</v>
      </c>
      <c r="F316" t="s">
        <v>18</v>
      </c>
      <c r="G316">
        <v>1</v>
      </c>
      <c r="H316" t="s">
        <v>57</v>
      </c>
      <c r="I316" t="s">
        <v>57</v>
      </c>
      <c r="N316" t="b">
        <v>1</v>
      </c>
      <c r="O316" t="s">
        <v>256</v>
      </c>
      <c r="P316" t="s">
        <v>27</v>
      </c>
      <c r="Q316" t="s">
        <v>100</v>
      </c>
      <c r="R316" t="s">
        <v>41</v>
      </c>
      <c r="S316" s="1">
        <v>0.35972222222222222</v>
      </c>
      <c r="T316" s="1">
        <v>0.43402777777777779</v>
      </c>
      <c r="U316">
        <v>107</v>
      </c>
      <c r="V316" t="b">
        <v>0</v>
      </c>
      <c r="W316" t="s">
        <v>21</v>
      </c>
      <c r="Z316" t="b">
        <v>1</v>
      </c>
      <c r="AA316" t="s">
        <v>29</v>
      </c>
      <c r="AB316" t="b">
        <v>1</v>
      </c>
      <c r="AD316" s="2"/>
    </row>
    <row r="317" spans="1:30" x14ac:dyDescent="0.25">
      <c r="A317">
        <v>316</v>
      </c>
      <c r="B317" t="s">
        <v>25</v>
      </c>
      <c r="C317" s="3">
        <v>40175</v>
      </c>
      <c r="D317" s="2">
        <f ca="1">DATEDIF(gym_membership[[#This Row],[birthday]],TODAY(),"y")</f>
        <v>16</v>
      </c>
      <c r="E317">
        <v>14</v>
      </c>
      <c r="F317" t="s">
        <v>22</v>
      </c>
      <c r="G317">
        <v>3</v>
      </c>
      <c r="H317" t="s">
        <v>161</v>
      </c>
      <c r="I317" t="s">
        <v>44</v>
      </c>
      <c r="J317" t="s">
        <v>57</v>
      </c>
      <c r="K317" t="s">
        <v>77</v>
      </c>
      <c r="N317" t="b">
        <v>0</v>
      </c>
      <c r="O317" t="s">
        <v>21</v>
      </c>
      <c r="S317" s="1">
        <v>0.86944444444444446</v>
      </c>
      <c r="T317" s="1">
        <v>0.91805555555555551</v>
      </c>
      <c r="U317">
        <v>70</v>
      </c>
      <c r="V317" t="b">
        <v>1</v>
      </c>
      <c r="W317" t="s">
        <v>257</v>
      </c>
      <c r="X317" t="s">
        <v>39</v>
      </c>
      <c r="Y317" t="s">
        <v>65</v>
      </c>
      <c r="Z317" t="b">
        <v>1</v>
      </c>
      <c r="AA317" t="s">
        <v>24</v>
      </c>
      <c r="AB317" t="b">
        <v>1</v>
      </c>
      <c r="AD317" s="2"/>
    </row>
    <row r="318" spans="1:30" x14ac:dyDescent="0.25">
      <c r="A318">
        <v>317</v>
      </c>
      <c r="B318" t="s">
        <v>25</v>
      </c>
      <c r="C318" s="3">
        <v>32413</v>
      </c>
      <c r="D318" s="2">
        <f ca="1">DATEDIF(gym_membership[[#This Row],[birthday]],TODAY(),"y")</f>
        <v>37</v>
      </c>
      <c r="E318">
        <v>36</v>
      </c>
      <c r="F318" t="s">
        <v>18</v>
      </c>
      <c r="G318">
        <v>3</v>
      </c>
      <c r="H318" t="s">
        <v>164</v>
      </c>
      <c r="I318" t="s">
        <v>34</v>
      </c>
      <c r="J318" t="s">
        <v>26</v>
      </c>
      <c r="K318" t="s">
        <v>95</v>
      </c>
      <c r="N318" t="b">
        <v>0</v>
      </c>
      <c r="O318" t="s">
        <v>21</v>
      </c>
      <c r="S318" s="1">
        <v>0.46250000000000002</v>
      </c>
      <c r="T318" s="1">
        <v>0.48888888888888887</v>
      </c>
      <c r="U318">
        <v>38</v>
      </c>
      <c r="V318" t="b">
        <v>1</v>
      </c>
      <c r="W318" t="s">
        <v>76</v>
      </c>
      <c r="X318" t="s">
        <v>76</v>
      </c>
      <c r="Z318" t="b">
        <v>1</v>
      </c>
      <c r="AA318" t="s">
        <v>24</v>
      </c>
      <c r="AB318" t="b">
        <v>0</v>
      </c>
      <c r="AD318" s="2"/>
    </row>
    <row r="319" spans="1:30" x14ac:dyDescent="0.25">
      <c r="A319">
        <v>318</v>
      </c>
      <c r="B319" t="s">
        <v>25</v>
      </c>
      <c r="C319" s="3">
        <v>30820</v>
      </c>
      <c r="D319" s="2">
        <f ca="1">DATEDIF(gym_membership[[#This Row],[birthday]],TODAY(),"y")</f>
        <v>42</v>
      </c>
      <c r="E319">
        <v>40</v>
      </c>
      <c r="F319" t="s">
        <v>18</v>
      </c>
      <c r="G319">
        <v>2</v>
      </c>
      <c r="H319" t="s">
        <v>111</v>
      </c>
      <c r="I319" t="s">
        <v>94</v>
      </c>
      <c r="J319" t="s">
        <v>95</v>
      </c>
      <c r="N319" t="b">
        <v>0</v>
      </c>
      <c r="O319" t="s">
        <v>21</v>
      </c>
      <c r="S319" s="1">
        <v>0.48402777777777778</v>
      </c>
      <c r="T319" s="1">
        <v>0.59930555555555554</v>
      </c>
      <c r="U319">
        <v>166</v>
      </c>
      <c r="V319" t="b">
        <v>0</v>
      </c>
      <c r="W319" t="s">
        <v>21</v>
      </c>
      <c r="Z319" t="b">
        <v>1</v>
      </c>
      <c r="AA319" t="s">
        <v>24</v>
      </c>
      <c r="AB319" t="b">
        <v>1</v>
      </c>
      <c r="AD319" s="2"/>
    </row>
    <row r="320" spans="1:30" x14ac:dyDescent="0.25">
      <c r="A320">
        <v>319</v>
      </c>
      <c r="B320" t="s">
        <v>25</v>
      </c>
      <c r="C320" s="3">
        <v>33756</v>
      </c>
      <c r="D320" s="2">
        <f ca="1">DATEDIF(gym_membership[[#This Row],[birthday]],TODAY(),"y")</f>
        <v>34</v>
      </c>
      <c r="E320">
        <v>32</v>
      </c>
      <c r="F320" t="s">
        <v>18</v>
      </c>
      <c r="G320">
        <v>3</v>
      </c>
      <c r="H320" t="s">
        <v>149</v>
      </c>
      <c r="I320" t="s">
        <v>26</v>
      </c>
      <c r="J320" t="s">
        <v>94</v>
      </c>
      <c r="K320" t="s">
        <v>77</v>
      </c>
      <c r="N320" t="b">
        <v>0</v>
      </c>
      <c r="O320" t="s">
        <v>21</v>
      </c>
      <c r="S320" s="1">
        <v>0.44305555555555554</v>
      </c>
      <c r="T320" s="1">
        <v>0.54513888888888884</v>
      </c>
      <c r="U320">
        <v>147</v>
      </c>
      <c r="V320" t="b">
        <v>1</v>
      </c>
      <c r="W320" t="s">
        <v>163</v>
      </c>
      <c r="X320" t="s">
        <v>65</v>
      </c>
      <c r="Y320" t="s">
        <v>51</v>
      </c>
      <c r="Z320" t="b">
        <v>0</v>
      </c>
      <c r="AA320" t="s">
        <v>456</v>
      </c>
      <c r="AB320" t="b">
        <v>0</v>
      </c>
      <c r="AD320" s="2"/>
    </row>
    <row r="321" spans="1:30" x14ac:dyDescent="0.25">
      <c r="A321">
        <v>320</v>
      </c>
      <c r="B321" t="s">
        <v>17</v>
      </c>
      <c r="C321" s="3">
        <v>40931</v>
      </c>
      <c r="D321" s="2">
        <f ca="1">DATEDIF(gym_membership[[#This Row],[birthday]],TODAY(),"y")</f>
        <v>14</v>
      </c>
      <c r="E321">
        <v>12</v>
      </c>
      <c r="F321" t="s">
        <v>22</v>
      </c>
      <c r="G321">
        <v>5</v>
      </c>
      <c r="H321" t="s">
        <v>129</v>
      </c>
      <c r="I321" t="s">
        <v>34</v>
      </c>
      <c r="J321" t="s">
        <v>26</v>
      </c>
      <c r="K321" t="s">
        <v>94</v>
      </c>
      <c r="L321" t="s">
        <v>95</v>
      </c>
      <c r="M321" t="s">
        <v>77</v>
      </c>
      <c r="N321" t="b">
        <v>1</v>
      </c>
      <c r="O321" t="s">
        <v>258</v>
      </c>
      <c r="P321" t="s">
        <v>67</v>
      </c>
      <c r="Q321" t="s">
        <v>72</v>
      </c>
      <c r="S321" s="1">
        <v>0.4</v>
      </c>
      <c r="T321" s="1">
        <v>0.50624999999999998</v>
      </c>
      <c r="U321">
        <v>153</v>
      </c>
      <c r="V321" t="b">
        <v>1</v>
      </c>
      <c r="W321" t="s">
        <v>125</v>
      </c>
      <c r="X321" t="s">
        <v>65</v>
      </c>
      <c r="Y321" t="s">
        <v>76</v>
      </c>
      <c r="Z321" t="b">
        <v>1</v>
      </c>
      <c r="AA321" t="s">
        <v>24</v>
      </c>
      <c r="AB321" t="b">
        <v>1</v>
      </c>
      <c r="AD321" s="2"/>
    </row>
    <row r="322" spans="1:30" x14ac:dyDescent="0.25">
      <c r="A322">
        <v>321</v>
      </c>
      <c r="B322" t="s">
        <v>25</v>
      </c>
      <c r="C322" s="3">
        <v>35907</v>
      </c>
      <c r="D322" s="2">
        <f ca="1">DATEDIF(gym_membership[[#This Row],[birthday]],TODAY(),"y")</f>
        <v>28</v>
      </c>
      <c r="E322">
        <v>26</v>
      </c>
      <c r="F322" t="s">
        <v>18</v>
      </c>
      <c r="G322">
        <v>3</v>
      </c>
      <c r="H322" t="s">
        <v>56</v>
      </c>
      <c r="I322" t="s">
        <v>26</v>
      </c>
      <c r="J322" t="s">
        <v>95</v>
      </c>
      <c r="K322" t="s">
        <v>57</v>
      </c>
      <c r="N322" t="b">
        <v>0</v>
      </c>
      <c r="O322" t="s">
        <v>21</v>
      </c>
      <c r="S322" s="1">
        <v>0.59097222222222223</v>
      </c>
      <c r="T322" s="1">
        <v>0.63263888888888886</v>
      </c>
      <c r="U322">
        <v>60</v>
      </c>
      <c r="V322" t="b">
        <v>1</v>
      </c>
      <c r="W322" t="s">
        <v>124</v>
      </c>
      <c r="X322" t="s">
        <v>31</v>
      </c>
      <c r="Y322" t="s">
        <v>39</v>
      </c>
      <c r="Z322" t="b">
        <v>0</v>
      </c>
      <c r="AA322" t="s">
        <v>456</v>
      </c>
      <c r="AB322" t="b">
        <v>0</v>
      </c>
      <c r="AD322" s="2"/>
    </row>
    <row r="323" spans="1:30" x14ac:dyDescent="0.25">
      <c r="A323">
        <v>322</v>
      </c>
      <c r="B323" t="s">
        <v>25</v>
      </c>
      <c r="C323" s="3">
        <v>36833</v>
      </c>
      <c r="D323" s="2">
        <f ca="1">DATEDIF(gym_membership[[#This Row],[birthday]],TODAY(),"y")</f>
        <v>25</v>
      </c>
      <c r="E323">
        <v>23</v>
      </c>
      <c r="F323" t="s">
        <v>22</v>
      </c>
      <c r="G323">
        <v>2</v>
      </c>
      <c r="H323" t="s">
        <v>183</v>
      </c>
      <c r="I323" t="s">
        <v>44</v>
      </c>
      <c r="J323" t="s">
        <v>26</v>
      </c>
      <c r="N323" t="b">
        <v>0</v>
      </c>
      <c r="O323" t="s">
        <v>21</v>
      </c>
      <c r="S323" s="1">
        <v>0.84583333333333333</v>
      </c>
      <c r="T323" s="1">
        <v>0.87152777777777779</v>
      </c>
      <c r="U323">
        <v>37</v>
      </c>
      <c r="V323" t="b">
        <v>0</v>
      </c>
      <c r="W323" t="s">
        <v>21</v>
      </c>
      <c r="Z323" t="b">
        <v>1</v>
      </c>
      <c r="AA323" t="s">
        <v>24</v>
      </c>
      <c r="AB323" t="b">
        <v>0</v>
      </c>
      <c r="AD323" s="2"/>
    </row>
    <row r="324" spans="1:30" x14ac:dyDescent="0.25">
      <c r="A324">
        <v>323</v>
      </c>
      <c r="B324" t="s">
        <v>25</v>
      </c>
      <c r="C324" s="3">
        <v>35965</v>
      </c>
      <c r="D324" s="2">
        <f ca="1">DATEDIF(gym_membership[[#This Row],[birthday]],TODAY(),"y")</f>
        <v>28</v>
      </c>
      <c r="E324">
        <v>26</v>
      </c>
      <c r="F324" t="s">
        <v>18</v>
      </c>
      <c r="G324">
        <v>5</v>
      </c>
      <c r="H324" t="s">
        <v>129</v>
      </c>
      <c r="I324" t="s">
        <v>34</v>
      </c>
      <c r="J324" t="s">
        <v>26</v>
      </c>
      <c r="K324" t="s">
        <v>94</v>
      </c>
      <c r="L324" t="s">
        <v>95</v>
      </c>
      <c r="M324" t="s">
        <v>77</v>
      </c>
      <c r="N324" t="b">
        <v>1</v>
      </c>
      <c r="O324" t="s">
        <v>128</v>
      </c>
      <c r="P324" t="s">
        <v>128</v>
      </c>
      <c r="S324" s="1">
        <v>0.71597222222222223</v>
      </c>
      <c r="T324" s="1">
        <v>0.75138888888888888</v>
      </c>
      <c r="U324">
        <v>51</v>
      </c>
      <c r="V324" t="b">
        <v>0</v>
      </c>
      <c r="W324" t="s">
        <v>21</v>
      </c>
      <c r="Z324" t="b">
        <v>1</v>
      </c>
      <c r="AA324" t="s">
        <v>24</v>
      </c>
      <c r="AB324" t="b">
        <v>1</v>
      </c>
      <c r="AD324" s="2"/>
    </row>
    <row r="325" spans="1:30" x14ac:dyDescent="0.25">
      <c r="A325">
        <v>324</v>
      </c>
      <c r="B325" t="s">
        <v>17</v>
      </c>
      <c r="C325" s="3">
        <v>34529</v>
      </c>
      <c r="D325" s="2">
        <f ca="1">DATEDIF(gym_membership[[#This Row],[birthday]],TODAY(),"y")</f>
        <v>32</v>
      </c>
      <c r="E325">
        <v>30</v>
      </c>
      <c r="F325" t="s">
        <v>22</v>
      </c>
      <c r="G325">
        <v>3</v>
      </c>
      <c r="H325" t="s">
        <v>46</v>
      </c>
      <c r="I325" t="s">
        <v>44</v>
      </c>
      <c r="J325" t="s">
        <v>95</v>
      </c>
      <c r="K325" t="s">
        <v>77</v>
      </c>
      <c r="N325" t="b">
        <v>1</v>
      </c>
      <c r="O325" t="s">
        <v>58</v>
      </c>
      <c r="P325" t="s">
        <v>58</v>
      </c>
      <c r="S325" s="1">
        <v>0.80277777777777781</v>
      </c>
      <c r="T325" s="1">
        <v>0.84375</v>
      </c>
      <c r="U325">
        <v>59</v>
      </c>
      <c r="V325" t="b">
        <v>0</v>
      </c>
      <c r="W325" t="s">
        <v>21</v>
      </c>
      <c r="Z325" t="b">
        <v>1</v>
      </c>
      <c r="AA325" t="s">
        <v>24</v>
      </c>
      <c r="AB325" t="b">
        <v>1</v>
      </c>
      <c r="AD325" s="2"/>
    </row>
    <row r="326" spans="1:30" x14ac:dyDescent="0.25">
      <c r="A326">
        <v>325</v>
      </c>
      <c r="B326" t="s">
        <v>25</v>
      </c>
      <c r="C326" s="3">
        <v>34749</v>
      </c>
      <c r="D326" s="2">
        <f ca="1">DATEDIF(gym_membership[[#This Row],[birthday]],TODAY(),"y")</f>
        <v>31</v>
      </c>
      <c r="E326">
        <v>29</v>
      </c>
      <c r="F326" t="s">
        <v>22</v>
      </c>
      <c r="G326">
        <v>3</v>
      </c>
      <c r="H326" t="s">
        <v>165</v>
      </c>
      <c r="I326" t="s">
        <v>44</v>
      </c>
      <c r="J326" t="s">
        <v>26</v>
      </c>
      <c r="K326" t="s">
        <v>77</v>
      </c>
      <c r="N326" t="b">
        <v>0</v>
      </c>
      <c r="O326" t="s">
        <v>21</v>
      </c>
      <c r="S326" s="1">
        <v>0.44027777777777777</v>
      </c>
      <c r="T326" s="1">
        <v>0.46736111111111112</v>
      </c>
      <c r="U326">
        <v>39</v>
      </c>
      <c r="V326" t="b">
        <v>0</v>
      </c>
      <c r="W326" t="s">
        <v>21</v>
      </c>
      <c r="Z326" t="b">
        <v>0</v>
      </c>
      <c r="AA326" t="s">
        <v>456</v>
      </c>
      <c r="AB326" t="b">
        <v>1</v>
      </c>
      <c r="AD326" s="2"/>
    </row>
    <row r="327" spans="1:30" x14ac:dyDescent="0.25">
      <c r="A327">
        <v>326</v>
      </c>
      <c r="B327" t="s">
        <v>17</v>
      </c>
      <c r="C327" s="3">
        <v>28309</v>
      </c>
      <c r="D327" s="2">
        <f ca="1">DATEDIF(gym_membership[[#This Row],[birthday]],TODAY(),"y")</f>
        <v>49</v>
      </c>
      <c r="E327">
        <v>47</v>
      </c>
      <c r="F327" t="s">
        <v>22</v>
      </c>
      <c r="G327">
        <v>3</v>
      </c>
      <c r="H327" t="s">
        <v>93</v>
      </c>
      <c r="I327" t="s">
        <v>34</v>
      </c>
      <c r="J327" t="s">
        <v>94</v>
      </c>
      <c r="K327" t="s">
        <v>57</v>
      </c>
      <c r="N327" t="b">
        <v>0</v>
      </c>
      <c r="O327" t="s">
        <v>21</v>
      </c>
      <c r="S327" s="1">
        <v>0.76666666666666672</v>
      </c>
      <c r="T327" s="1">
        <v>0.80069444444444449</v>
      </c>
      <c r="U327">
        <v>49</v>
      </c>
      <c r="V327" t="b">
        <v>1</v>
      </c>
      <c r="W327" t="s">
        <v>257</v>
      </c>
      <c r="X327" t="s">
        <v>39</v>
      </c>
      <c r="Y327" t="s">
        <v>65</v>
      </c>
      <c r="Z327" t="b">
        <v>0</v>
      </c>
      <c r="AA327" t="s">
        <v>456</v>
      </c>
      <c r="AB327" t="b">
        <v>0</v>
      </c>
      <c r="AD327" s="2"/>
    </row>
    <row r="328" spans="1:30" x14ac:dyDescent="0.25">
      <c r="A328">
        <v>327</v>
      </c>
      <c r="B328" t="s">
        <v>17</v>
      </c>
      <c r="C328" s="3">
        <v>40807</v>
      </c>
      <c r="D328" s="2">
        <f ca="1">DATEDIF(gym_membership[[#This Row],[birthday]],TODAY(),"y")</f>
        <v>14</v>
      </c>
      <c r="E328">
        <v>13</v>
      </c>
      <c r="F328" t="s">
        <v>22</v>
      </c>
      <c r="G328">
        <v>3</v>
      </c>
      <c r="H328" t="s">
        <v>109</v>
      </c>
      <c r="I328" t="s">
        <v>34</v>
      </c>
      <c r="J328" t="s">
        <v>94</v>
      </c>
      <c r="K328" t="s">
        <v>95</v>
      </c>
      <c r="N328" t="b">
        <v>0</v>
      </c>
      <c r="O328" t="s">
        <v>21</v>
      </c>
      <c r="S328" s="1">
        <v>0.58402777777777781</v>
      </c>
      <c r="T328" s="1">
        <v>0.68263888888888891</v>
      </c>
      <c r="U328">
        <v>142</v>
      </c>
      <c r="V328" t="b">
        <v>1</v>
      </c>
      <c r="W328" t="s">
        <v>31</v>
      </c>
      <c r="X328" t="s">
        <v>31</v>
      </c>
      <c r="Z328" t="b">
        <v>0</v>
      </c>
      <c r="AA328" t="s">
        <v>456</v>
      </c>
      <c r="AB328" t="b">
        <v>1</v>
      </c>
      <c r="AD328" s="2"/>
    </row>
    <row r="329" spans="1:30" x14ac:dyDescent="0.25">
      <c r="A329">
        <v>328</v>
      </c>
      <c r="B329" t="s">
        <v>17</v>
      </c>
      <c r="C329" s="3">
        <v>37529</v>
      </c>
      <c r="D329" s="2">
        <f ca="1">DATEDIF(gym_membership[[#This Row],[birthday]],TODAY(),"y")</f>
        <v>23</v>
      </c>
      <c r="E329">
        <v>22</v>
      </c>
      <c r="F329" t="s">
        <v>22</v>
      </c>
      <c r="G329">
        <v>5</v>
      </c>
      <c r="H329" t="s">
        <v>211</v>
      </c>
      <c r="I329" t="s">
        <v>44</v>
      </c>
      <c r="J329" t="s">
        <v>34</v>
      </c>
      <c r="K329" t="s">
        <v>94</v>
      </c>
      <c r="L329" t="s">
        <v>57</v>
      </c>
      <c r="M329" t="s">
        <v>77</v>
      </c>
      <c r="N329" t="b">
        <v>0</v>
      </c>
      <c r="O329" t="s">
        <v>21</v>
      </c>
      <c r="S329" s="1">
        <v>0.57777777777777772</v>
      </c>
      <c r="T329" s="1">
        <v>0.61319444444444449</v>
      </c>
      <c r="U329">
        <v>51</v>
      </c>
      <c r="V329" t="b">
        <v>0</v>
      </c>
      <c r="W329" t="s">
        <v>21</v>
      </c>
      <c r="Z329" t="b">
        <v>0</v>
      </c>
      <c r="AA329" t="s">
        <v>456</v>
      </c>
      <c r="AB329" t="b">
        <v>1</v>
      </c>
      <c r="AD329" s="2"/>
    </row>
    <row r="330" spans="1:30" x14ac:dyDescent="0.25">
      <c r="A330">
        <v>329</v>
      </c>
      <c r="B330" t="s">
        <v>25</v>
      </c>
      <c r="C330" s="3">
        <v>33419</v>
      </c>
      <c r="D330" s="2">
        <f ca="1">DATEDIF(gym_membership[[#This Row],[birthday]],TODAY(),"y")</f>
        <v>35</v>
      </c>
      <c r="E330">
        <v>33</v>
      </c>
      <c r="F330" t="s">
        <v>18</v>
      </c>
      <c r="G330">
        <v>4</v>
      </c>
      <c r="H330" t="s">
        <v>259</v>
      </c>
      <c r="I330" t="s">
        <v>44</v>
      </c>
      <c r="J330" t="s">
        <v>26</v>
      </c>
      <c r="K330" t="s">
        <v>94</v>
      </c>
      <c r="L330" t="s">
        <v>57</v>
      </c>
      <c r="N330" t="b">
        <v>1</v>
      </c>
      <c r="O330" t="s">
        <v>128</v>
      </c>
      <c r="P330" t="s">
        <v>128</v>
      </c>
      <c r="S330" s="1">
        <v>0.38541666666666669</v>
      </c>
      <c r="T330" s="1">
        <v>0.41944444444444445</v>
      </c>
      <c r="U330">
        <v>49</v>
      </c>
      <c r="V330" t="b">
        <v>0</v>
      </c>
      <c r="W330" t="s">
        <v>21</v>
      </c>
      <c r="Z330" t="b">
        <v>0</v>
      </c>
      <c r="AA330" t="s">
        <v>456</v>
      </c>
      <c r="AB330" t="b">
        <v>1</v>
      </c>
      <c r="AD330" s="2"/>
    </row>
    <row r="331" spans="1:30" x14ac:dyDescent="0.25">
      <c r="A331">
        <v>330</v>
      </c>
      <c r="B331" t="s">
        <v>17</v>
      </c>
      <c r="C331" s="3">
        <v>35655</v>
      </c>
      <c r="D331" s="2">
        <f ca="1">DATEDIF(gym_membership[[#This Row],[birthday]],TODAY(),"y")</f>
        <v>29</v>
      </c>
      <c r="E331">
        <v>27</v>
      </c>
      <c r="F331" t="s">
        <v>22</v>
      </c>
      <c r="G331">
        <v>2</v>
      </c>
      <c r="H331" t="s">
        <v>89</v>
      </c>
      <c r="I331" t="s">
        <v>26</v>
      </c>
      <c r="J331" t="s">
        <v>95</v>
      </c>
      <c r="N331" t="b">
        <v>0</v>
      </c>
      <c r="O331" t="s">
        <v>21</v>
      </c>
      <c r="S331" s="1">
        <v>0.48819444444444443</v>
      </c>
      <c r="T331" s="1">
        <v>0.60138888888888886</v>
      </c>
      <c r="U331">
        <v>163</v>
      </c>
      <c r="V331" t="b">
        <v>1</v>
      </c>
      <c r="W331" t="s">
        <v>31</v>
      </c>
      <c r="X331" t="s">
        <v>31</v>
      </c>
      <c r="Z331" t="b">
        <v>0</v>
      </c>
      <c r="AA331" t="s">
        <v>456</v>
      </c>
      <c r="AB331" t="b">
        <v>1</v>
      </c>
      <c r="AD331" s="2"/>
    </row>
    <row r="332" spans="1:30" x14ac:dyDescent="0.25">
      <c r="A332">
        <v>331</v>
      </c>
      <c r="B332" t="s">
        <v>17</v>
      </c>
      <c r="C332" s="3">
        <v>32726</v>
      </c>
      <c r="D332" s="2">
        <f ca="1">DATEDIF(gym_membership[[#This Row],[birthday]],TODAY(),"y")</f>
        <v>37</v>
      </c>
      <c r="E332">
        <v>35</v>
      </c>
      <c r="F332" t="s">
        <v>18</v>
      </c>
      <c r="G332">
        <v>2</v>
      </c>
      <c r="H332" t="s">
        <v>37</v>
      </c>
      <c r="I332" t="s">
        <v>34</v>
      </c>
      <c r="J332" t="s">
        <v>77</v>
      </c>
      <c r="N332" t="b">
        <v>1</v>
      </c>
      <c r="O332" t="s">
        <v>260</v>
      </c>
      <c r="P332" t="s">
        <v>120</v>
      </c>
      <c r="Q332" t="s">
        <v>91</v>
      </c>
      <c r="S332" s="1">
        <v>0.69166666666666665</v>
      </c>
      <c r="T332" s="1">
        <v>0.73750000000000004</v>
      </c>
      <c r="U332">
        <v>66</v>
      </c>
      <c r="V332" t="b">
        <v>1</v>
      </c>
      <c r="W332" t="s">
        <v>31</v>
      </c>
      <c r="X332" t="s">
        <v>31</v>
      </c>
      <c r="Z332" t="b">
        <v>0</v>
      </c>
      <c r="AA332" t="s">
        <v>456</v>
      </c>
      <c r="AB332" t="b">
        <v>0</v>
      </c>
      <c r="AD332" s="2"/>
    </row>
    <row r="333" spans="1:30" x14ac:dyDescent="0.25">
      <c r="A333">
        <v>332</v>
      </c>
      <c r="B333" t="s">
        <v>17</v>
      </c>
      <c r="C333" s="3">
        <v>37674</v>
      </c>
      <c r="D333" s="2">
        <f ca="1">DATEDIF(gym_membership[[#This Row],[birthday]],TODAY(),"y")</f>
        <v>23</v>
      </c>
      <c r="E333">
        <v>21</v>
      </c>
      <c r="F333" t="s">
        <v>18</v>
      </c>
      <c r="G333">
        <v>3</v>
      </c>
      <c r="H333" t="s">
        <v>165</v>
      </c>
      <c r="I333" t="s">
        <v>44</v>
      </c>
      <c r="J333" t="s">
        <v>26</v>
      </c>
      <c r="K333" t="s">
        <v>77</v>
      </c>
      <c r="N333" t="b">
        <v>1</v>
      </c>
      <c r="O333" t="s">
        <v>27</v>
      </c>
      <c r="P333" t="s">
        <v>27</v>
      </c>
      <c r="S333" s="1">
        <v>0.84861111111111109</v>
      </c>
      <c r="T333" s="1">
        <v>0.91597222222222219</v>
      </c>
      <c r="U333">
        <v>97</v>
      </c>
      <c r="V333" t="b">
        <v>1</v>
      </c>
      <c r="W333" t="s">
        <v>31</v>
      </c>
      <c r="X333" t="s">
        <v>31</v>
      </c>
      <c r="Z333" t="b">
        <v>0</v>
      </c>
      <c r="AA333" t="s">
        <v>456</v>
      </c>
      <c r="AB333" t="b">
        <v>1</v>
      </c>
      <c r="AD333" s="2"/>
    </row>
    <row r="334" spans="1:30" x14ac:dyDescent="0.25">
      <c r="A334">
        <v>333</v>
      </c>
      <c r="B334" t="s">
        <v>25</v>
      </c>
      <c r="C334" s="3">
        <v>30846</v>
      </c>
      <c r="D334" s="2">
        <f ca="1">DATEDIF(gym_membership[[#This Row],[birthday]],TODAY(),"y")</f>
        <v>42</v>
      </c>
      <c r="E334">
        <v>40</v>
      </c>
      <c r="F334" t="s">
        <v>18</v>
      </c>
      <c r="G334">
        <v>3</v>
      </c>
      <c r="H334" t="s">
        <v>116</v>
      </c>
      <c r="I334" t="s">
        <v>44</v>
      </c>
      <c r="J334" t="s">
        <v>94</v>
      </c>
      <c r="K334" t="s">
        <v>57</v>
      </c>
      <c r="N334" t="b">
        <v>0</v>
      </c>
      <c r="O334" t="s">
        <v>21</v>
      </c>
      <c r="S334" s="1">
        <v>0.47083333333333333</v>
      </c>
      <c r="T334" s="1">
        <v>0.58958333333333335</v>
      </c>
      <c r="U334">
        <v>171</v>
      </c>
      <c r="V334" t="b">
        <v>0</v>
      </c>
      <c r="W334" t="s">
        <v>21</v>
      </c>
      <c r="Z334" t="b">
        <v>1</v>
      </c>
      <c r="AA334" t="s">
        <v>45</v>
      </c>
      <c r="AB334" t="b">
        <v>1</v>
      </c>
      <c r="AD334" s="2"/>
    </row>
    <row r="335" spans="1:30" x14ac:dyDescent="0.25">
      <c r="A335">
        <v>334</v>
      </c>
      <c r="B335" t="s">
        <v>25</v>
      </c>
      <c r="C335" s="3">
        <v>39996</v>
      </c>
      <c r="D335" s="2">
        <f ca="1">DATEDIF(gym_membership[[#This Row],[birthday]],TODAY(),"y")</f>
        <v>17</v>
      </c>
      <c r="E335">
        <v>15</v>
      </c>
      <c r="F335" t="s">
        <v>22</v>
      </c>
      <c r="G335">
        <v>3</v>
      </c>
      <c r="H335" t="s">
        <v>145</v>
      </c>
      <c r="I335" t="s">
        <v>34</v>
      </c>
      <c r="J335" t="s">
        <v>26</v>
      </c>
      <c r="K335" t="s">
        <v>94</v>
      </c>
      <c r="N335" t="b">
        <v>0</v>
      </c>
      <c r="O335" t="s">
        <v>21</v>
      </c>
      <c r="S335" s="1">
        <v>0.72847222222222219</v>
      </c>
      <c r="T335" s="1">
        <v>0.75208333333333333</v>
      </c>
      <c r="U335">
        <v>34</v>
      </c>
      <c r="V335" t="b">
        <v>0</v>
      </c>
      <c r="W335" t="s">
        <v>21</v>
      </c>
      <c r="Z335" t="b">
        <v>0</v>
      </c>
      <c r="AA335" t="s">
        <v>456</v>
      </c>
      <c r="AB335" t="b">
        <v>1</v>
      </c>
      <c r="AD335" s="2"/>
    </row>
    <row r="336" spans="1:30" x14ac:dyDescent="0.25">
      <c r="A336">
        <v>335</v>
      </c>
      <c r="B336" t="s">
        <v>17</v>
      </c>
      <c r="C336" s="3">
        <v>36851</v>
      </c>
      <c r="D336" s="2">
        <f ca="1">DATEDIF(gym_membership[[#This Row],[birthday]],TODAY(),"y")</f>
        <v>25</v>
      </c>
      <c r="E336">
        <v>23</v>
      </c>
      <c r="F336" t="s">
        <v>18</v>
      </c>
      <c r="G336">
        <v>3</v>
      </c>
      <c r="H336" t="s">
        <v>145</v>
      </c>
      <c r="I336" t="s">
        <v>34</v>
      </c>
      <c r="J336" t="s">
        <v>26</v>
      </c>
      <c r="K336" t="s">
        <v>94</v>
      </c>
      <c r="N336" t="b">
        <v>0</v>
      </c>
      <c r="O336" t="s">
        <v>21</v>
      </c>
      <c r="S336" s="1">
        <v>0.5708333333333333</v>
      </c>
      <c r="T336" s="1">
        <v>0.60624999999999996</v>
      </c>
      <c r="U336">
        <v>51</v>
      </c>
      <c r="V336" t="b">
        <v>0</v>
      </c>
      <c r="W336" t="s">
        <v>21</v>
      </c>
      <c r="Z336" t="b">
        <v>0</v>
      </c>
      <c r="AA336" t="s">
        <v>456</v>
      </c>
      <c r="AB336" t="b">
        <v>1</v>
      </c>
      <c r="AD336" s="2"/>
    </row>
    <row r="337" spans="1:30" x14ac:dyDescent="0.25">
      <c r="A337">
        <v>336</v>
      </c>
      <c r="B337" t="s">
        <v>17</v>
      </c>
      <c r="C337" s="3">
        <v>27455</v>
      </c>
      <c r="D337" s="2">
        <f ca="1">DATEDIF(gym_membership[[#This Row],[birthday]],TODAY(),"y")</f>
        <v>51</v>
      </c>
      <c r="E337">
        <v>49</v>
      </c>
      <c r="F337" t="s">
        <v>22</v>
      </c>
      <c r="G337">
        <v>1</v>
      </c>
      <c r="H337" t="s">
        <v>77</v>
      </c>
      <c r="I337" t="s">
        <v>77</v>
      </c>
      <c r="N337" t="b">
        <v>1</v>
      </c>
      <c r="O337" t="s">
        <v>261</v>
      </c>
      <c r="P337" t="s">
        <v>128</v>
      </c>
      <c r="Q337" t="s">
        <v>72</v>
      </c>
      <c r="R337" t="s">
        <v>91</v>
      </c>
      <c r="S337" s="1">
        <v>0.44444444444444442</v>
      </c>
      <c r="T337" s="1">
        <v>0.47499999999999998</v>
      </c>
      <c r="U337">
        <v>44</v>
      </c>
      <c r="V337" t="b">
        <v>0</v>
      </c>
      <c r="W337" t="s">
        <v>21</v>
      </c>
      <c r="Z337" t="b">
        <v>1</v>
      </c>
      <c r="AA337" t="s">
        <v>24</v>
      </c>
      <c r="AB337" t="b">
        <v>0</v>
      </c>
      <c r="AD337" s="2"/>
    </row>
    <row r="338" spans="1:30" x14ac:dyDescent="0.25">
      <c r="A338">
        <v>337</v>
      </c>
      <c r="B338" t="s">
        <v>25</v>
      </c>
      <c r="C338" s="3">
        <v>30054</v>
      </c>
      <c r="D338" s="2">
        <f ca="1">DATEDIF(gym_membership[[#This Row],[birthday]],TODAY(),"y")</f>
        <v>44</v>
      </c>
      <c r="E338">
        <v>42</v>
      </c>
      <c r="F338" t="s">
        <v>18</v>
      </c>
      <c r="G338">
        <v>2</v>
      </c>
      <c r="H338" t="s">
        <v>62</v>
      </c>
      <c r="I338" t="s">
        <v>44</v>
      </c>
      <c r="J338" t="s">
        <v>34</v>
      </c>
      <c r="N338" t="b">
        <v>0</v>
      </c>
      <c r="O338" t="s">
        <v>21</v>
      </c>
      <c r="S338" s="1">
        <v>0.76527777777777772</v>
      </c>
      <c r="T338" s="1">
        <v>0.84583333333333333</v>
      </c>
      <c r="U338">
        <v>116</v>
      </c>
      <c r="V338" t="b">
        <v>1</v>
      </c>
      <c r="W338" t="s">
        <v>52</v>
      </c>
      <c r="X338" t="s">
        <v>59</v>
      </c>
      <c r="Y338" t="s">
        <v>51</v>
      </c>
      <c r="Z338" t="b">
        <v>1</v>
      </c>
      <c r="AA338" t="s">
        <v>24</v>
      </c>
      <c r="AB338" t="b">
        <v>0</v>
      </c>
      <c r="AD338" s="2"/>
    </row>
    <row r="339" spans="1:30" x14ac:dyDescent="0.25">
      <c r="A339">
        <v>338</v>
      </c>
      <c r="B339" t="s">
        <v>25</v>
      </c>
      <c r="C339" s="3">
        <v>35707</v>
      </c>
      <c r="D339" s="2">
        <f ca="1">DATEDIF(gym_membership[[#This Row],[birthday]],TODAY(),"y")</f>
        <v>28</v>
      </c>
      <c r="E339">
        <v>27</v>
      </c>
      <c r="F339" t="s">
        <v>18</v>
      </c>
      <c r="G339">
        <v>3</v>
      </c>
      <c r="H339" t="s">
        <v>185</v>
      </c>
      <c r="I339" t="s">
        <v>34</v>
      </c>
      <c r="J339" t="s">
        <v>95</v>
      </c>
      <c r="K339" t="s">
        <v>77</v>
      </c>
      <c r="N339" t="b">
        <v>1</v>
      </c>
      <c r="O339" t="s">
        <v>227</v>
      </c>
      <c r="P339" t="s">
        <v>72</v>
      </c>
      <c r="Q339" t="s">
        <v>67</v>
      </c>
      <c r="S339" s="1">
        <v>0.42083333333333334</v>
      </c>
      <c r="T339" s="1">
        <v>0.48472222222222222</v>
      </c>
      <c r="U339">
        <v>92</v>
      </c>
      <c r="V339" t="b">
        <v>1</v>
      </c>
      <c r="W339" t="s">
        <v>97</v>
      </c>
      <c r="X339" t="s">
        <v>39</v>
      </c>
      <c r="Y339" t="s">
        <v>31</v>
      </c>
      <c r="Z339" t="b">
        <v>0</v>
      </c>
      <c r="AA339" t="s">
        <v>456</v>
      </c>
      <c r="AB339" t="b">
        <v>0</v>
      </c>
      <c r="AD339" s="2"/>
    </row>
    <row r="340" spans="1:30" x14ac:dyDescent="0.25">
      <c r="A340">
        <v>339</v>
      </c>
      <c r="B340" t="s">
        <v>17</v>
      </c>
      <c r="C340" s="3">
        <v>30563</v>
      </c>
      <c r="D340" s="2">
        <f ca="1">DATEDIF(gym_membership[[#This Row],[birthday]],TODAY(),"y")</f>
        <v>42</v>
      </c>
      <c r="E340">
        <v>41</v>
      </c>
      <c r="F340" t="s">
        <v>22</v>
      </c>
      <c r="G340">
        <v>3</v>
      </c>
      <c r="H340" t="s">
        <v>81</v>
      </c>
      <c r="I340" t="s">
        <v>94</v>
      </c>
      <c r="J340" t="s">
        <v>95</v>
      </c>
      <c r="K340" t="s">
        <v>77</v>
      </c>
      <c r="N340" t="b">
        <v>1</v>
      </c>
      <c r="O340" t="s">
        <v>262</v>
      </c>
      <c r="P340" t="s">
        <v>27</v>
      </c>
      <c r="Q340" t="s">
        <v>58</v>
      </c>
      <c r="R340" t="s">
        <v>67</v>
      </c>
      <c r="S340" s="1">
        <v>0.65277777777777779</v>
      </c>
      <c r="T340" s="1">
        <v>0.72291666666666665</v>
      </c>
      <c r="U340">
        <v>101</v>
      </c>
      <c r="V340" t="b">
        <v>1</v>
      </c>
      <c r="W340" t="s">
        <v>68</v>
      </c>
      <c r="X340" t="s">
        <v>31</v>
      </c>
      <c r="Y340" t="s">
        <v>59</v>
      </c>
      <c r="Z340" t="b">
        <v>1</v>
      </c>
      <c r="AA340" t="s">
        <v>24</v>
      </c>
      <c r="AB340" t="b">
        <v>0</v>
      </c>
      <c r="AD340" s="2"/>
    </row>
    <row r="341" spans="1:30" x14ac:dyDescent="0.25">
      <c r="A341">
        <v>340</v>
      </c>
      <c r="B341" t="s">
        <v>25</v>
      </c>
      <c r="C341" s="3">
        <v>37337</v>
      </c>
      <c r="D341" s="2">
        <f ca="1">DATEDIF(gym_membership[[#This Row],[birthday]],TODAY(),"y")</f>
        <v>24</v>
      </c>
      <c r="E341">
        <v>22</v>
      </c>
      <c r="F341" t="s">
        <v>18</v>
      </c>
      <c r="G341">
        <v>3</v>
      </c>
      <c r="H341" t="s">
        <v>56</v>
      </c>
      <c r="I341" t="s">
        <v>26</v>
      </c>
      <c r="J341" t="s">
        <v>95</v>
      </c>
      <c r="K341" t="s">
        <v>57</v>
      </c>
      <c r="N341" t="b">
        <v>1</v>
      </c>
      <c r="O341" t="s">
        <v>263</v>
      </c>
      <c r="P341" t="s">
        <v>67</v>
      </c>
      <c r="Q341" t="s">
        <v>120</v>
      </c>
      <c r="R341" t="s">
        <v>72</v>
      </c>
      <c r="S341" s="1">
        <v>0.78541666666666665</v>
      </c>
      <c r="T341" s="1">
        <v>0.88680555555555551</v>
      </c>
      <c r="U341">
        <v>146</v>
      </c>
      <c r="V341" t="b">
        <v>0</v>
      </c>
      <c r="W341" t="s">
        <v>21</v>
      </c>
      <c r="Z341" t="b">
        <v>1</v>
      </c>
      <c r="AA341" t="s">
        <v>43</v>
      </c>
      <c r="AB341" t="b">
        <v>0</v>
      </c>
      <c r="AD341" s="2"/>
    </row>
    <row r="342" spans="1:30" x14ac:dyDescent="0.25">
      <c r="A342">
        <v>341</v>
      </c>
      <c r="B342" t="s">
        <v>17</v>
      </c>
      <c r="C342" s="3">
        <v>32279</v>
      </c>
      <c r="D342" s="2">
        <f ca="1">DATEDIF(gym_membership[[#This Row],[birthday]],TODAY(),"y")</f>
        <v>38</v>
      </c>
      <c r="E342">
        <v>36</v>
      </c>
      <c r="F342" t="s">
        <v>22</v>
      </c>
      <c r="G342">
        <v>4</v>
      </c>
      <c r="H342" t="s">
        <v>192</v>
      </c>
      <c r="I342" t="s">
        <v>44</v>
      </c>
      <c r="J342" t="s">
        <v>34</v>
      </c>
      <c r="K342" t="s">
        <v>95</v>
      </c>
      <c r="L342" t="s">
        <v>77</v>
      </c>
      <c r="N342" t="b">
        <v>0</v>
      </c>
      <c r="O342" t="s">
        <v>21</v>
      </c>
      <c r="S342" s="1">
        <v>0.58472222222222225</v>
      </c>
      <c r="T342" s="1">
        <v>0.68611111111111112</v>
      </c>
      <c r="U342">
        <v>146</v>
      </c>
      <c r="V342" t="b">
        <v>0</v>
      </c>
      <c r="W342" t="s">
        <v>21</v>
      </c>
      <c r="Z342" t="b">
        <v>0</v>
      </c>
      <c r="AA342" t="s">
        <v>456</v>
      </c>
      <c r="AB342" t="b">
        <v>1</v>
      </c>
      <c r="AD342" s="2"/>
    </row>
    <row r="343" spans="1:30" x14ac:dyDescent="0.25">
      <c r="A343">
        <v>342</v>
      </c>
      <c r="B343" t="s">
        <v>25</v>
      </c>
      <c r="C343" s="3">
        <v>36018</v>
      </c>
      <c r="D343" s="2">
        <f ca="1">DATEDIF(gym_membership[[#This Row],[birthday]],TODAY(),"y")</f>
        <v>28</v>
      </c>
      <c r="E343">
        <v>26</v>
      </c>
      <c r="F343" t="s">
        <v>22</v>
      </c>
      <c r="G343">
        <v>5</v>
      </c>
      <c r="H343" t="s">
        <v>74</v>
      </c>
      <c r="I343" t="s">
        <v>44</v>
      </c>
      <c r="J343" t="s">
        <v>26</v>
      </c>
      <c r="K343" t="s">
        <v>94</v>
      </c>
      <c r="L343" t="s">
        <v>57</v>
      </c>
      <c r="M343" t="s">
        <v>77</v>
      </c>
      <c r="N343" t="b">
        <v>1</v>
      </c>
      <c r="O343" t="s">
        <v>67</v>
      </c>
      <c r="P343" t="s">
        <v>67</v>
      </c>
      <c r="S343" s="1">
        <v>0.74791666666666667</v>
      </c>
      <c r="T343" s="1">
        <v>0.79513888888888884</v>
      </c>
      <c r="U343">
        <v>68</v>
      </c>
      <c r="V343" t="b">
        <v>1</v>
      </c>
      <c r="W343" t="s">
        <v>39</v>
      </c>
      <c r="X343" t="s">
        <v>39</v>
      </c>
      <c r="Z343" t="b">
        <v>1</v>
      </c>
      <c r="AA343" t="s">
        <v>43</v>
      </c>
      <c r="AB343" t="b">
        <v>1</v>
      </c>
      <c r="AD343" s="2"/>
    </row>
    <row r="344" spans="1:30" x14ac:dyDescent="0.25">
      <c r="A344">
        <v>343</v>
      </c>
      <c r="B344" t="s">
        <v>17</v>
      </c>
      <c r="C344" s="3">
        <v>38632</v>
      </c>
      <c r="D344" s="2">
        <f ca="1">DATEDIF(gym_membership[[#This Row],[birthday]],TODAY(),"y")</f>
        <v>20</v>
      </c>
      <c r="E344">
        <v>19</v>
      </c>
      <c r="F344" t="s">
        <v>18</v>
      </c>
      <c r="G344">
        <v>5</v>
      </c>
      <c r="H344" t="s">
        <v>135</v>
      </c>
      <c r="I344" t="s">
        <v>44</v>
      </c>
      <c r="J344" t="s">
        <v>26</v>
      </c>
      <c r="K344" t="s">
        <v>95</v>
      </c>
      <c r="L344" t="s">
        <v>57</v>
      </c>
      <c r="M344" t="s">
        <v>77</v>
      </c>
      <c r="N344" t="b">
        <v>1</v>
      </c>
      <c r="O344" t="s">
        <v>264</v>
      </c>
      <c r="P344" t="s">
        <v>128</v>
      </c>
      <c r="Q344" t="s">
        <v>67</v>
      </c>
      <c r="R344" t="s">
        <v>120</v>
      </c>
      <c r="S344" s="1">
        <v>0.41180555555555554</v>
      </c>
      <c r="T344" s="1">
        <v>0.53402777777777777</v>
      </c>
      <c r="U344">
        <v>176</v>
      </c>
      <c r="V344" t="b">
        <v>0</v>
      </c>
      <c r="W344" t="s">
        <v>21</v>
      </c>
      <c r="Z344" t="b">
        <v>1</v>
      </c>
      <c r="AA344" t="s">
        <v>29</v>
      </c>
      <c r="AB344" t="b">
        <v>1</v>
      </c>
      <c r="AD344" s="2"/>
    </row>
    <row r="345" spans="1:30" x14ac:dyDescent="0.25">
      <c r="A345">
        <v>344</v>
      </c>
      <c r="B345" t="s">
        <v>17</v>
      </c>
      <c r="C345" s="3">
        <v>31695</v>
      </c>
      <c r="D345" s="2">
        <f ca="1">DATEDIF(gym_membership[[#This Row],[birthday]],TODAY(),"y")</f>
        <v>39</v>
      </c>
      <c r="E345">
        <v>38</v>
      </c>
      <c r="F345" t="s">
        <v>22</v>
      </c>
      <c r="G345">
        <v>4</v>
      </c>
      <c r="H345" t="s">
        <v>265</v>
      </c>
      <c r="I345" t="s">
        <v>44</v>
      </c>
      <c r="J345" t="s">
        <v>34</v>
      </c>
      <c r="K345" t="s">
        <v>94</v>
      </c>
      <c r="L345" t="s">
        <v>95</v>
      </c>
      <c r="N345" t="b">
        <v>1</v>
      </c>
      <c r="O345" t="s">
        <v>67</v>
      </c>
      <c r="P345" t="s">
        <v>67</v>
      </c>
      <c r="S345" s="1">
        <v>0.53472222222222221</v>
      </c>
      <c r="T345" s="1">
        <v>0.59652777777777777</v>
      </c>
      <c r="U345">
        <v>89</v>
      </c>
      <c r="V345" t="b">
        <v>0</v>
      </c>
      <c r="W345" t="s">
        <v>21</v>
      </c>
      <c r="Z345" t="b">
        <v>0</v>
      </c>
      <c r="AA345" t="s">
        <v>456</v>
      </c>
      <c r="AB345" t="b">
        <v>1</v>
      </c>
      <c r="AD345" s="2"/>
    </row>
    <row r="346" spans="1:30" x14ac:dyDescent="0.25">
      <c r="A346">
        <v>345</v>
      </c>
      <c r="B346" t="s">
        <v>25</v>
      </c>
      <c r="C346" s="3">
        <v>31277</v>
      </c>
      <c r="D346" s="2">
        <f ca="1">DATEDIF(gym_membership[[#This Row],[birthday]],TODAY(),"y")</f>
        <v>41</v>
      </c>
      <c r="E346">
        <v>39</v>
      </c>
      <c r="F346" t="s">
        <v>22</v>
      </c>
      <c r="G346">
        <v>2</v>
      </c>
      <c r="H346" t="s">
        <v>86</v>
      </c>
      <c r="I346" t="s">
        <v>34</v>
      </c>
      <c r="J346" t="s">
        <v>26</v>
      </c>
      <c r="N346" t="b">
        <v>0</v>
      </c>
      <c r="O346" t="s">
        <v>21</v>
      </c>
      <c r="S346" s="1">
        <v>0.60416666666666663</v>
      </c>
      <c r="T346" s="1">
        <v>0.67638888888888893</v>
      </c>
      <c r="U346">
        <v>104</v>
      </c>
      <c r="V346" t="b">
        <v>0</v>
      </c>
      <c r="W346" t="s">
        <v>21</v>
      </c>
      <c r="Z346" t="b">
        <v>1</v>
      </c>
      <c r="AA346" t="s">
        <v>29</v>
      </c>
      <c r="AB346" t="b">
        <v>0</v>
      </c>
      <c r="AD346" s="2"/>
    </row>
    <row r="347" spans="1:30" x14ac:dyDescent="0.25">
      <c r="A347">
        <v>346</v>
      </c>
      <c r="B347" t="s">
        <v>17</v>
      </c>
      <c r="C347" s="3">
        <v>29785</v>
      </c>
      <c r="D347" s="2">
        <f ca="1">DATEDIF(gym_membership[[#This Row],[birthday]],TODAY(),"y")</f>
        <v>45</v>
      </c>
      <c r="E347">
        <v>43</v>
      </c>
      <c r="F347" t="s">
        <v>18</v>
      </c>
      <c r="G347">
        <v>3</v>
      </c>
      <c r="H347" t="s">
        <v>164</v>
      </c>
      <c r="I347" t="s">
        <v>34</v>
      </c>
      <c r="J347" t="s">
        <v>26</v>
      </c>
      <c r="K347" t="s">
        <v>95</v>
      </c>
      <c r="N347" t="b">
        <v>1</v>
      </c>
      <c r="O347" t="s">
        <v>260</v>
      </c>
      <c r="P347" t="s">
        <v>120</v>
      </c>
      <c r="Q347" t="s">
        <v>91</v>
      </c>
      <c r="S347" s="1">
        <v>0.51180555555555551</v>
      </c>
      <c r="T347" s="1">
        <v>0.63124999999999998</v>
      </c>
      <c r="U347">
        <v>172</v>
      </c>
      <c r="V347" t="b">
        <v>0</v>
      </c>
      <c r="W347" t="s">
        <v>21</v>
      </c>
      <c r="Z347" t="b">
        <v>0</v>
      </c>
      <c r="AA347" t="s">
        <v>456</v>
      </c>
      <c r="AB347" t="b">
        <v>0</v>
      </c>
      <c r="AD347" s="2"/>
    </row>
    <row r="348" spans="1:30" x14ac:dyDescent="0.25">
      <c r="A348">
        <v>347</v>
      </c>
      <c r="B348" t="s">
        <v>17</v>
      </c>
      <c r="C348" s="3">
        <v>31328</v>
      </c>
      <c r="D348" s="2">
        <f ca="1">DATEDIF(gym_membership[[#This Row],[birthday]],TODAY(),"y")</f>
        <v>40</v>
      </c>
      <c r="E348">
        <v>39</v>
      </c>
      <c r="F348" t="s">
        <v>22</v>
      </c>
      <c r="G348">
        <v>3</v>
      </c>
      <c r="H348" t="s">
        <v>50</v>
      </c>
      <c r="I348" t="s">
        <v>34</v>
      </c>
      <c r="J348" t="s">
        <v>57</v>
      </c>
      <c r="K348" t="s">
        <v>77</v>
      </c>
      <c r="N348" t="b">
        <v>0</v>
      </c>
      <c r="O348" t="s">
        <v>21</v>
      </c>
      <c r="S348" s="1">
        <v>0.70208333333333328</v>
      </c>
      <c r="T348" s="1">
        <v>0.77500000000000002</v>
      </c>
      <c r="U348">
        <v>105</v>
      </c>
      <c r="V348" t="b">
        <v>0</v>
      </c>
      <c r="W348" t="s">
        <v>21</v>
      </c>
      <c r="Z348" t="b">
        <v>0</v>
      </c>
      <c r="AA348" t="s">
        <v>456</v>
      </c>
      <c r="AB348" t="b">
        <v>1</v>
      </c>
      <c r="AD348" s="2"/>
    </row>
    <row r="349" spans="1:30" x14ac:dyDescent="0.25">
      <c r="A349">
        <v>348</v>
      </c>
      <c r="B349" t="s">
        <v>25</v>
      </c>
      <c r="C349" s="3">
        <v>37804</v>
      </c>
      <c r="D349" s="2">
        <f ca="1">DATEDIF(gym_membership[[#This Row],[birthday]],TODAY(),"y")</f>
        <v>23</v>
      </c>
      <c r="E349">
        <v>21</v>
      </c>
      <c r="F349" t="s">
        <v>22</v>
      </c>
      <c r="G349">
        <v>3</v>
      </c>
      <c r="H349" t="s">
        <v>84</v>
      </c>
      <c r="I349" t="s">
        <v>26</v>
      </c>
      <c r="J349" t="s">
        <v>94</v>
      </c>
      <c r="K349" t="s">
        <v>57</v>
      </c>
      <c r="N349" t="b">
        <v>0</v>
      </c>
      <c r="O349" t="s">
        <v>21</v>
      </c>
      <c r="S349" s="1">
        <v>0.54097222222222219</v>
      </c>
      <c r="T349" s="1">
        <v>0.57499999999999996</v>
      </c>
      <c r="U349">
        <v>49</v>
      </c>
      <c r="V349" t="b">
        <v>1</v>
      </c>
      <c r="W349" t="s">
        <v>114</v>
      </c>
      <c r="X349" t="s">
        <v>59</v>
      </c>
      <c r="Y349" t="s">
        <v>76</v>
      </c>
      <c r="Z349" t="b">
        <v>0</v>
      </c>
      <c r="AA349" t="s">
        <v>456</v>
      </c>
      <c r="AB349" t="b">
        <v>0</v>
      </c>
      <c r="AD349" s="2"/>
    </row>
    <row r="350" spans="1:30" x14ac:dyDescent="0.25">
      <c r="A350">
        <v>349</v>
      </c>
      <c r="B350" t="s">
        <v>17</v>
      </c>
      <c r="C350" s="3">
        <v>31216</v>
      </c>
      <c r="D350" s="2">
        <f ca="1">DATEDIF(gym_membership[[#This Row],[birthday]],TODAY(),"y")</f>
        <v>41</v>
      </c>
      <c r="E350">
        <v>39</v>
      </c>
      <c r="F350" t="s">
        <v>22</v>
      </c>
      <c r="G350">
        <v>2</v>
      </c>
      <c r="H350" t="s">
        <v>111</v>
      </c>
      <c r="I350" t="s">
        <v>94</v>
      </c>
      <c r="J350" t="s">
        <v>95</v>
      </c>
      <c r="N350" t="b">
        <v>0</v>
      </c>
      <c r="O350" t="s">
        <v>21</v>
      </c>
      <c r="S350" s="1">
        <v>0.53680555555555554</v>
      </c>
      <c r="T350" s="1">
        <v>0.62083333333333335</v>
      </c>
      <c r="U350">
        <v>121</v>
      </c>
      <c r="V350" t="b">
        <v>0</v>
      </c>
      <c r="W350" t="s">
        <v>21</v>
      </c>
      <c r="Z350" t="b">
        <v>1</v>
      </c>
      <c r="AA350" t="s">
        <v>43</v>
      </c>
      <c r="AB350" t="b">
        <v>0</v>
      </c>
      <c r="AD350" s="2"/>
    </row>
    <row r="351" spans="1:30" x14ac:dyDescent="0.25">
      <c r="A351">
        <v>350</v>
      </c>
      <c r="B351" t="s">
        <v>17</v>
      </c>
      <c r="C351" s="3">
        <v>32468</v>
      </c>
      <c r="D351" s="2">
        <f ca="1">DATEDIF(gym_membership[[#This Row],[birthday]],TODAY(),"y")</f>
        <v>37</v>
      </c>
      <c r="E351">
        <v>35</v>
      </c>
      <c r="F351" t="s">
        <v>22</v>
      </c>
      <c r="G351">
        <v>2</v>
      </c>
      <c r="H351" t="s">
        <v>62</v>
      </c>
      <c r="I351" t="s">
        <v>44</v>
      </c>
      <c r="J351" t="s">
        <v>34</v>
      </c>
      <c r="N351" t="b">
        <v>1</v>
      </c>
      <c r="O351" t="s">
        <v>266</v>
      </c>
      <c r="P351" t="s">
        <v>58</v>
      </c>
      <c r="Q351" t="s">
        <v>27</v>
      </c>
      <c r="S351" s="1">
        <v>0.68055555555555558</v>
      </c>
      <c r="T351" s="1">
        <v>0.72291666666666665</v>
      </c>
      <c r="U351">
        <v>61</v>
      </c>
      <c r="V351" t="b">
        <v>1</v>
      </c>
      <c r="W351" t="s">
        <v>31</v>
      </c>
      <c r="X351" t="s">
        <v>31</v>
      </c>
      <c r="Z351" t="b">
        <v>1</v>
      </c>
      <c r="AA351" t="s">
        <v>43</v>
      </c>
      <c r="AB351" t="b">
        <v>0</v>
      </c>
      <c r="AD351" s="2"/>
    </row>
    <row r="352" spans="1:30" x14ac:dyDescent="0.25">
      <c r="A352">
        <v>351</v>
      </c>
      <c r="B352" t="s">
        <v>25</v>
      </c>
      <c r="C352" s="3">
        <v>32446</v>
      </c>
      <c r="D352" s="2">
        <f ca="1">DATEDIF(gym_membership[[#This Row],[birthday]],TODAY(),"y")</f>
        <v>37</v>
      </c>
      <c r="E352">
        <v>35</v>
      </c>
      <c r="F352" t="s">
        <v>22</v>
      </c>
      <c r="G352">
        <v>1</v>
      </c>
      <c r="H352" t="s">
        <v>44</v>
      </c>
      <c r="I352" t="s">
        <v>44</v>
      </c>
      <c r="N352" t="b">
        <v>1</v>
      </c>
      <c r="O352" t="s">
        <v>267</v>
      </c>
      <c r="P352" t="s">
        <v>96</v>
      </c>
      <c r="Q352" t="s">
        <v>91</v>
      </c>
      <c r="S352" s="1">
        <v>0.81041666666666667</v>
      </c>
      <c r="T352" s="1">
        <v>0.91874999999999996</v>
      </c>
      <c r="U352">
        <v>156</v>
      </c>
      <c r="V352" t="b">
        <v>0</v>
      </c>
      <c r="W352" t="s">
        <v>21</v>
      </c>
      <c r="Z352" t="b">
        <v>0</v>
      </c>
      <c r="AA352" t="s">
        <v>456</v>
      </c>
      <c r="AB352" t="b">
        <v>0</v>
      </c>
      <c r="AD352" s="2"/>
    </row>
    <row r="353" spans="1:30" x14ac:dyDescent="0.25">
      <c r="A353">
        <v>352</v>
      </c>
      <c r="B353" t="s">
        <v>17</v>
      </c>
      <c r="C353" s="3">
        <v>34030</v>
      </c>
      <c r="D353" s="2">
        <f ca="1">DATEDIF(gym_membership[[#This Row],[birthday]],TODAY(),"y")</f>
        <v>33</v>
      </c>
      <c r="E353">
        <v>31</v>
      </c>
      <c r="F353" t="s">
        <v>22</v>
      </c>
      <c r="G353">
        <v>1</v>
      </c>
      <c r="H353" t="s">
        <v>77</v>
      </c>
      <c r="I353" t="s">
        <v>77</v>
      </c>
      <c r="N353" t="b">
        <v>1</v>
      </c>
      <c r="O353" t="s">
        <v>268</v>
      </c>
      <c r="P353" t="s">
        <v>100</v>
      </c>
      <c r="Q353" t="s">
        <v>128</v>
      </c>
      <c r="S353" s="1">
        <v>0.40416666666666667</v>
      </c>
      <c r="T353" s="1">
        <v>0.51736111111111116</v>
      </c>
      <c r="U353">
        <v>163</v>
      </c>
      <c r="V353" t="b">
        <v>0</v>
      </c>
      <c r="W353" t="s">
        <v>21</v>
      </c>
      <c r="Z353" t="b">
        <v>0</v>
      </c>
      <c r="AA353" t="s">
        <v>456</v>
      </c>
      <c r="AB353" t="b">
        <v>0</v>
      </c>
      <c r="AD353" s="2"/>
    </row>
    <row r="354" spans="1:30" x14ac:dyDescent="0.25">
      <c r="A354">
        <v>353</v>
      </c>
      <c r="B354" t="s">
        <v>17</v>
      </c>
      <c r="C354" s="3">
        <v>39964</v>
      </c>
      <c r="D354" s="2">
        <f ca="1">DATEDIF(gym_membership[[#This Row],[birthday]],TODAY(),"y")</f>
        <v>17</v>
      </c>
      <c r="E354">
        <v>15</v>
      </c>
      <c r="F354" t="s">
        <v>18</v>
      </c>
      <c r="G354">
        <v>2</v>
      </c>
      <c r="H354" t="s">
        <v>62</v>
      </c>
      <c r="I354" t="s">
        <v>44</v>
      </c>
      <c r="J354" t="s">
        <v>34</v>
      </c>
      <c r="N354" t="b">
        <v>0</v>
      </c>
      <c r="O354" t="s">
        <v>21</v>
      </c>
      <c r="S354" s="1">
        <v>0.56736111111111109</v>
      </c>
      <c r="T354" s="1">
        <v>0.61805555555555558</v>
      </c>
      <c r="U354">
        <v>73</v>
      </c>
      <c r="V354" t="b">
        <v>1</v>
      </c>
      <c r="W354" t="s">
        <v>76</v>
      </c>
      <c r="X354" t="s">
        <v>76</v>
      </c>
      <c r="Z354" t="b">
        <v>1</v>
      </c>
      <c r="AA354" t="s">
        <v>29</v>
      </c>
      <c r="AB354" t="b">
        <v>1</v>
      </c>
      <c r="AD354" s="2"/>
    </row>
    <row r="355" spans="1:30" x14ac:dyDescent="0.25">
      <c r="A355">
        <v>354</v>
      </c>
      <c r="B355" t="s">
        <v>17</v>
      </c>
      <c r="C355" s="3">
        <v>29377</v>
      </c>
      <c r="D355" s="2">
        <f ca="1">DATEDIF(gym_membership[[#This Row],[birthday]],TODAY(),"y")</f>
        <v>46</v>
      </c>
      <c r="E355">
        <v>44</v>
      </c>
      <c r="F355" t="s">
        <v>18</v>
      </c>
      <c r="G355">
        <v>2</v>
      </c>
      <c r="H355" t="s">
        <v>62</v>
      </c>
      <c r="I355" t="s">
        <v>44</v>
      </c>
      <c r="J355" t="s">
        <v>34</v>
      </c>
      <c r="N355" t="b">
        <v>1</v>
      </c>
      <c r="O355" t="s">
        <v>96</v>
      </c>
      <c r="P355" t="s">
        <v>96</v>
      </c>
      <c r="S355" s="1">
        <v>0.71736111111111112</v>
      </c>
      <c r="T355" s="1">
        <v>0.76041666666666663</v>
      </c>
      <c r="U355">
        <v>62</v>
      </c>
      <c r="V355" t="b">
        <v>0</v>
      </c>
      <c r="W355" t="s">
        <v>21</v>
      </c>
      <c r="Z355" t="b">
        <v>0</v>
      </c>
      <c r="AA355" t="s">
        <v>456</v>
      </c>
      <c r="AB355" t="b">
        <v>1</v>
      </c>
      <c r="AD355" s="2"/>
    </row>
    <row r="356" spans="1:30" x14ac:dyDescent="0.25">
      <c r="A356">
        <v>355</v>
      </c>
      <c r="B356" t="s">
        <v>25</v>
      </c>
      <c r="C356" s="3">
        <v>31821</v>
      </c>
      <c r="D356" s="2">
        <f ca="1">DATEDIF(gym_membership[[#This Row],[birthday]],TODAY(),"y")</f>
        <v>39</v>
      </c>
      <c r="E356">
        <v>37</v>
      </c>
      <c r="F356" t="s">
        <v>22</v>
      </c>
      <c r="G356">
        <v>1</v>
      </c>
      <c r="H356" t="s">
        <v>34</v>
      </c>
      <c r="I356" t="s">
        <v>34</v>
      </c>
      <c r="N356" t="b">
        <v>1</v>
      </c>
      <c r="O356" t="s">
        <v>112</v>
      </c>
      <c r="P356" t="s">
        <v>96</v>
      </c>
      <c r="Q356" t="s">
        <v>128</v>
      </c>
      <c r="S356" s="1">
        <v>0.69791666666666663</v>
      </c>
      <c r="T356" s="1">
        <v>0.79027777777777775</v>
      </c>
      <c r="U356">
        <v>133</v>
      </c>
      <c r="V356" t="b">
        <v>0</v>
      </c>
      <c r="W356" t="s">
        <v>21</v>
      </c>
      <c r="Z356" t="b">
        <v>0</v>
      </c>
      <c r="AA356" t="s">
        <v>456</v>
      </c>
      <c r="AB356" t="b">
        <v>0</v>
      </c>
      <c r="AD356" s="2"/>
    </row>
    <row r="357" spans="1:30" x14ac:dyDescent="0.25">
      <c r="A357">
        <v>356</v>
      </c>
      <c r="B357" t="s">
        <v>25</v>
      </c>
      <c r="C357" s="3">
        <v>33737</v>
      </c>
      <c r="D357" s="2">
        <f ca="1">DATEDIF(gym_membership[[#This Row],[birthday]],TODAY(),"y")</f>
        <v>34</v>
      </c>
      <c r="E357">
        <v>32</v>
      </c>
      <c r="F357" t="s">
        <v>22</v>
      </c>
      <c r="G357">
        <v>1</v>
      </c>
      <c r="H357" t="s">
        <v>26</v>
      </c>
      <c r="I357" t="s">
        <v>26</v>
      </c>
      <c r="N357" t="b">
        <v>1</v>
      </c>
      <c r="O357" t="s">
        <v>266</v>
      </c>
      <c r="P357" t="s">
        <v>58</v>
      </c>
      <c r="Q357" t="s">
        <v>27</v>
      </c>
      <c r="S357" s="1">
        <v>0.78055555555555556</v>
      </c>
      <c r="T357" s="1">
        <v>0.81111111111111112</v>
      </c>
      <c r="U357">
        <v>44</v>
      </c>
      <c r="V357" t="b">
        <v>0</v>
      </c>
      <c r="W357" t="s">
        <v>21</v>
      </c>
      <c r="Z357" t="b">
        <v>0</v>
      </c>
      <c r="AA357" t="s">
        <v>456</v>
      </c>
      <c r="AB357" t="b">
        <v>1</v>
      </c>
      <c r="AD357" s="2"/>
    </row>
    <row r="358" spans="1:30" x14ac:dyDescent="0.25">
      <c r="A358">
        <v>357</v>
      </c>
      <c r="B358" t="s">
        <v>17</v>
      </c>
      <c r="C358" s="3">
        <v>39341</v>
      </c>
      <c r="D358" s="2">
        <f ca="1">DATEDIF(gym_membership[[#This Row],[birthday]],TODAY(),"y")</f>
        <v>18</v>
      </c>
      <c r="E358">
        <v>17</v>
      </c>
      <c r="F358" t="s">
        <v>22</v>
      </c>
      <c r="G358">
        <v>2</v>
      </c>
      <c r="H358" t="s">
        <v>132</v>
      </c>
      <c r="I358" t="s">
        <v>44</v>
      </c>
      <c r="J358" t="s">
        <v>94</v>
      </c>
      <c r="N358" t="b">
        <v>1</v>
      </c>
      <c r="O358" t="s">
        <v>91</v>
      </c>
      <c r="P358" t="s">
        <v>91</v>
      </c>
      <c r="S358" s="1">
        <v>0.87152777777777779</v>
      </c>
      <c r="T358" s="1">
        <v>0.9291666666666667</v>
      </c>
      <c r="U358">
        <v>83</v>
      </c>
      <c r="V358" t="b">
        <v>1</v>
      </c>
      <c r="W358" t="s">
        <v>172</v>
      </c>
      <c r="X358" t="s">
        <v>65</v>
      </c>
      <c r="Y358" t="s">
        <v>59</v>
      </c>
      <c r="Z358" t="b">
        <v>0</v>
      </c>
      <c r="AA358" t="s">
        <v>456</v>
      </c>
      <c r="AB358" t="b">
        <v>0</v>
      </c>
      <c r="AD358" s="2"/>
    </row>
    <row r="359" spans="1:30" x14ac:dyDescent="0.25">
      <c r="A359">
        <v>358</v>
      </c>
      <c r="B359" t="s">
        <v>17</v>
      </c>
      <c r="C359" s="3">
        <v>31985</v>
      </c>
      <c r="D359" s="2">
        <f ca="1">DATEDIF(gym_membership[[#This Row],[birthday]],TODAY(),"y")</f>
        <v>39</v>
      </c>
      <c r="E359">
        <v>37</v>
      </c>
      <c r="F359" t="s">
        <v>22</v>
      </c>
      <c r="G359">
        <v>1</v>
      </c>
      <c r="H359" t="s">
        <v>57</v>
      </c>
      <c r="I359" t="s">
        <v>57</v>
      </c>
      <c r="N359" t="b">
        <v>1</v>
      </c>
      <c r="O359" t="s">
        <v>27</v>
      </c>
      <c r="P359" t="s">
        <v>27</v>
      </c>
      <c r="S359" s="1">
        <v>0.75416666666666665</v>
      </c>
      <c r="T359" s="1">
        <v>0.83263888888888893</v>
      </c>
      <c r="U359">
        <v>113</v>
      </c>
      <c r="V359" t="b">
        <v>0</v>
      </c>
      <c r="W359" t="s">
        <v>21</v>
      </c>
      <c r="Z359" t="b">
        <v>0</v>
      </c>
      <c r="AA359" t="s">
        <v>456</v>
      </c>
      <c r="AB359" t="b">
        <v>0</v>
      </c>
      <c r="AD359" s="2"/>
    </row>
    <row r="360" spans="1:30" x14ac:dyDescent="0.25">
      <c r="A360">
        <v>359</v>
      </c>
      <c r="B360" t="s">
        <v>17</v>
      </c>
      <c r="C360" s="3">
        <v>36196</v>
      </c>
      <c r="D360" s="2">
        <f ca="1">DATEDIF(gym_membership[[#This Row],[birthday]],TODAY(),"y")</f>
        <v>27</v>
      </c>
      <c r="E360">
        <v>25</v>
      </c>
      <c r="F360" t="s">
        <v>22</v>
      </c>
      <c r="G360">
        <v>3</v>
      </c>
      <c r="H360" t="s">
        <v>116</v>
      </c>
      <c r="I360" t="s">
        <v>44</v>
      </c>
      <c r="J360" t="s">
        <v>94</v>
      </c>
      <c r="K360" t="s">
        <v>57</v>
      </c>
      <c r="N360" t="b">
        <v>0</v>
      </c>
      <c r="O360" t="s">
        <v>21</v>
      </c>
      <c r="S360" s="1">
        <v>0.63958333333333328</v>
      </c>
      <c r="T360" s="1">
        <v>0.68472222222222223</v>
      </c>
      <c r="U360">
        <v>65</v>
      </c>
      <c r="V360" t="b">
        <v>0</v>
      </c>
      <c r="W360" t="s">
        <v>21</v>
      </c>
      <c r="Z360" t="b">
        <v>1</v>
      </c>
      <c r="AA360" t="s">
        <v>45</v>
      </c>
      <c r="AB360" t="b">
        <v>0</v>
      </c>
      <c r="AD360" s="2"/>
    </row>
    <row r="361" spans="1:30" x14ac:dyDescent="0.25">
      <c r="A361">
        <v>360</v>
      </c>
      <c r="B361" t="s">
        <v>17</v>
      </c>
      <c r="C361" s="3">
        <v>33726</v>
      </c>
      <c r="D361" s="2">
        <f ca="1">DATEDIF(gym_membership[[#This Row],[birthday]],TODAY(),"y")</f>
        <v>34</v>
      </c>
      <c r="E361">
        <v>32</v>
      </c>
      <c r="F361" t="s">
        <v>22</v>
      </c>
      <c r="G361">
        <v>2</v>
      </c>
      <c r="H361" t="s">
        <v>60</v>
      </c>
      <c r="I361" t="s">
        <v>26</v>
      </c>
      <c r="J361" t="s">
        <v>77</v>
      </c>
      <c r="N361" t="b">
        <v>1</v>
      </c>
      <c r="O361" t="s">
        <v>269</v>
      </c>
      <c r="P361" t="s">
        <v>91</v>
      </c>
      <c r="Q361" t="s">
        <v>41</v>
      </c>
      <c r="R361" t="s">
        <v>120</v>
      </c>
      <c r="S361" s="1">
        <v>0.71111111111111114</v>
      </c>
      <c r="T361" s="1">
        <v>0.82361111111111107</v>
      </c>
      <c r="U361">
        <v>162</v>
      </c>
      <c r="V361" t="b">
        <v>0</v>
      </c>
      <c r="W361" t="s">
        <v>21</v>
      </c>
      <c r="Z361" t="b">
        <v>1</v>
      </c>
      <c r="AA361" t="s">
        <v>43</v>
      </c>
      <c r="AB361" t="b">
        <v>0</v>
      </c>
      <c r="AD361" s="2"/>
    </row>
    <row r="362" spans="1:30" x14ac:dyDescent="0.25">
      <c r="A362">
        <v>361</v>
      </c>
      <c r="B362" t="s">
        <v>17</v>
      </c>
      <c r="C362" s="3">
        <v>29355</v>
      </c>
      <c r="D362" s="2">
        <f ca="1">DATEDIF(gym_membership[[#This Row],[birthday]],TODAY(),"y")</f>
        <v>46</v>
      </c>
      <c r="E362">
        <v>44</v>
      </c>
      <c r="F362" t="s">
        <v>22</v>
      </c>
      <c r="G362">
        <v>5</v>
      </c>
      <c r="H362" t="s">
        <v>170</v>
      </c>
      <c r="I362" t="s">
        <v>44</v>
      </c>
      <c r="J362" t="s">
        <v>94</v>
      </c>
      <c r="K362" t="s">
        <v>95</v>
      </c>
      <c r="L362" t="s">
        <v>57</v>
      </c>
      <c r="M362" t="s">
        <v>77</v>
      </c>
      <c r="N362" t="b">
        <v>1</v>
      </c>
      <c r="O362" t="s">
        <v>128</v>
      </c>
      <c r="P362" t="s">
        <v>128</v>
      </c>
      <c r="S362" s="1">
        <v>0.83611111111111114</v>
      </c>
      <c r="T362" s="1">
        <v>0.93680555555555556</v>
      </c>
      <c r="U362">
        <v>145</v>
      </c>
      <c r="V362" t="b">
        <v>0</v>
      </c>
      <c r="W362" t="s">
        <v>21</v>
      </c>
      <c r="Z362" t="b">
        <v>1</v>
      </c>
      <c r="AA362" t="s">
        <v>29</v>
      </c>
      <c r="AB362" t="b">
        <v>1</v>
      </c>
      <c r="AD362" s="2"/>
    </row>
    <row r="363" spans="1:30" x14ac:dyDescent="0.25">
      <c r="A363">
        <v>362</v>
      </c>
      <c r="B363" t="s">
        <v>17</v>
      </c>
      <c r="C363" s="3">
        <v>31956</v>
      </c>
      <c r="D363" s="2">
        <f ca="1">DATEDIF(gym_membership[[#This Row],[birthday]],TODAY(),"y")</f>
        <v>39</v>
      </c>
      <c r="E363">
        <v>37</v>
      </c>
      <c r="F363" t="s">
        <v>18</v>
      </c>
      <c r="G363">
        <v>4</v>
      </c>
      <c r="H363" t="s">
        <v>188</v>
      </c>
      <c r="I363" t="s">
        <v>44</v>
      </c>
      <c r="J363" t="s">
        <v>34</v>
      </c>
      <c r="K363" t="s">
        <v>95</v>
      </c>
      <c r="L363" t="s">
        <v>57</v>
      </c>
      <c r="N363" t="b">
        <v>1</v>
      </c>
      <c r="O363" t="s">
        <v>270</v>
      </c>
      <c r="P363" t="s">
        <v>58</v>
      </c>
      <c r="Q363" t="s">
        <v>72</v>
      </c>
      <c r="R363" t="s">
        <v>120</v>
      </c>
      <c r="S363" s="1">
        <v>0.49375000000000002</v>
      </c>
      <c r="T363" s="1">
        <v>0.58125000000000004</v>
      </c>
      <c r="U363">
        <v>126</v>
      </c>
      <c r="V363" t="b">
        <v>1</v>
      </c>
      <c r="W363" t="s">
        <v>191</v>
      </c>
      <c r="X363" t="s">
        <v>31</v>
      </c>
      <c r="Y363" t="s">
        <v>65</v>
      </c>
      <c r="Z363" t="b">
        <v>0</v>
      </c>
      <c r="AA363" t="s">
        <v>456</v>
      </c>
      <c r="AB363" t="b">
        <v>0</v>
      </c>
      <c r="AD363" s="2"/>
    </row>
    <row r="364" spans="1:30" x14ac:dyDescent="0.25">
      <c r="A364">
        <v>363</v>
      </c>
      <c r="B364" t="s">
        <v>25</v>
      </c>
      <c r="C364" s="3">
        <v>39138</v>
      </c>
      <c r="D364" s="2">
        <f ca="1">DATEDIF(gym_membership[[#This Row],[birthday]],TODAY(),"y")</f>
        <v>19</v>
      </c>
      <c r="E364">
        <v>17</v>
      </c>
      <c r="F364" t="s">
        <v>22</v>
      </c>
      <c r="G364">
        <v>1</v>
      </c>
      <c r="H364" t="s">
        <v>57</v>
      </c>
      <c r="I364" t="s">
        <v>57</v>
      </c>
      <c r="N364" t="b">
        <v>1</v>
      </c>
      <c r="O364" t="s">
        <v>271</v>
      </c>
      <c r="P364" t="s">
        <v>128</v>
      </c>
      <c r="Q364" t="s">
        <v>72</v>
      </c>
      <c r="S364" s="1">
        <v>0.51180555555555551</v>
      </c>
      <c r="T364" s="1">
        <v>0.63472222222222219</v>
      </c>
      <c r="U364">
        <v>177</v>
      </c>
      <c r="V364" t="b">
        <v>1</v>
      </c>
      <c r="W364" t="s">
        <v>125</v>
      </c>
      <c r="X364" t="s">
        <v>65</v>
      </c>
      <c r="Y364" t="s">
        <v>76</v>
      </c>
      <c r="Z364" t="b">
        <v>1</v>
      </c>
      <c r="AA364" t="s">
        <v>24</v>
      </c>
      <c r="AB364" t="b">
        <v>0</v>
      </c>
      <c r="AD364" s="2"/>
    </row>
    <row r="365" spans="1:30" x14ac:dyDescent="0.25">
      <c r="A365">
        <v>364</v>
      </c>
      <c r="B365" t="s">
        <v>17</v>
      </c>
      <c r="C365" s="3">
        <v>33051</v>
      </c>
      <c r="D365" s="2">
        <f ca="1">DATEDIF(gym_membership[[#This Row],[birthday]],TODAY(),"y")</f>
        <v>36</v>
      </c>
      <c r="E365">
        <v>34</v>
      </c>
      <c r="F365" t="s">
        <v>22</v>
      </c>
      <c r="G365">
        <v>3</v>
      </c>
      <c r="H365" t="s">
        <v>35</v>
      </c>
      <c r="I365" t="s">
        <v>26</v>
      </c>
      <c r="J365" t="s">
        <v>95</v>
      </c>
      <c r="K365" t="s">
        <v>77</v>
      </c>
      <c r="N365" t="b">
        <v>1</v>
      </c>
      <c r="O365" t="s">
        <v>272</v>
      </c>
      <c r="P365" t="s">
        <v>100</v>
      </c>
      <c r="Q365" t="s">
        <v>96</v>
      </c>
      <c r="R365" t="s">
        <v>103</v>
      </c>
      <c r="S365" s="1">
        <v>0.44930555555555557</v>
      </c>
      <c r="T365" s="1">
        <v>0.50208333333333333</v>
      </c>
      <c r="U365">
        <v>76</v>
      </c>
      <c r="V365" t="b">
        <v>0</v>
      </c>
      <c r="W365" t="s">
        <v>21</v>
      </c>
      <c r="Z365" t="b">
        <v>1</v>
      </c>
      <c r="AA365" t="s">
        <v>24</v>
      </c>
      <c r="AB365" t="b">
        <v>1</v>
      </c>
      <c r="AD365" s="2"/>
    </row>
    <row r="366" spans="1:30" x14ac:dyDescent="0.25">
      <c r="A366">
        <v>365</v>
      </c>
      <c r="B366" t="s">
        <v>17</v>
      </c>
      <c r="C366" s="3">
        <v>37888</v>
      </c>
      <c r="D366" s="2">
        <f ca="1">DATEDIF(gym_membership[[#This Row],[birthday]],TODAY(),"y")</f>
        <v>22</v>
      </c>
      <c r="E366">
        <v>21</v>
      </c>
      <c r="F366" t="s">
        <v>18</v>
      </c>
      <c r="G366">
        <v>2</v>
      </c>
      <c r="H366" t="s">
        <v>37</v>
      </c>
      <c r="I366" t="s">
        <v>34</v>
      </c>
      <c r="J366" t="s">
        <v>77</v>
      </c>
      <c r="N366" t="b">
        <v>1</v>
      </c>
      <c r="O366" t="s">
        <v>273</v>
      </c>
      <c r="P366" t="s">
        <v>120</v>
      </c>
      <c r="Q366" t="s">
        <v>67</v>
      </c>
      <c r="R366" t="s">
        <v>100</v>
      </c>
      <c r="S366" s="1">
        <v>0.77777777777777779</v>
      </c>
      <c r="T366" s="1">
        <v>0.88958333333333328</v>
      </c>
      <c r="U366">
        <v>161</v>
      </c>
      <c r="V366" t="b">
        <v>1</v>
      </c>
      <c r="W366" t="s">
        <v>31</v>
      </c>
      <c r="X366" t="s">
        <v>31</v>
      </c>
      <c r="Z366" t="b">
        <v>1</v>
      </c>
      <c r="AA366" t="s">
        <v>45</v>
      </c>
      <c r="AB366" t="b">
        <v>1</v>
      </c>
      <c r="AD366" s="2"/>
    </row>
    <row r="367" spans="1:30" x14ac:dyDescent="0.25">
      <c r="A367">
        <v>366</v>
      </c>
      <c r="B367" t="s">
        <v>25</v>
      </c>
      <c r="C367" s="3">
        <v>29376</v>
      </c>
      <c r="D367" s="2">
        <f ca="1">DATEDIF(gym_membership[[#This Row],[birthday]],TODAY(),"y")</f>
        <v>46</v>
      </c>
      <c r="E367">
        <v>44</v>
      </c>
      <c r="F367" t="s">
        <v>22</v>
      </c>
      <c r="G367">
        <v>3</v>
      </c>
      <c r="H367" t="s">
        <v>274</v>
      </c>
      <c r="I367" t="s">
        <v>44</v>
      </c>
      <c r="J367" t="s">
        <v>34</v>
      </c>
      <c r="K367" t="s">
        <v>57</v>
      </c>
      <c r="N367" t="b">
        <v>0</v>
      </c>
      <c r="O367" t="s">
        <v>21</v>
      </c>
      <c r="S367" s="1">
        <v>0.43819444444444444</v>
      </c>
      <c r="T367" s="1">
        <v>0.51944444444444449</v>
      </c>
      <c r="U367">
        <v>117</v>
      </c>
      <c r="V367" t="b">
        <v>1</v>
      </c>
      <c r="W367" t="s">
        <v>39</v>
      </c>
      <c r="X367" t="s">
        <v>39</v>
      </c>
      <c r="Z367" t="b">
        <v>1</v>
      </c>
      <c r="AA367" t="s">
        <v>24</v>
      </c>
      <c r="AB367" t="b">
        <v>0</v>
      </c>
      <c r="AD367" s="2"/>
    </row>
    <row r="368" spans="1:30" x14ac:dyDescent="0.25">
      <c r="A368">
        <v>367</v>
      </c>
      <c r="B368" t="s">
        <v>17</v>
      </c>
      <c r="C368" s="3">
        <v>35121</v>
      </c>
      <c r="D368" s="2">
        <f ca="1">DATEDIF(gym_membership[[#This Row],[birthday]],TODAY(),"y")</f>
        <v>30</v>
      </c>
      <c r="E368">
        <v>28</v>
      </c>
      <c r="F368" t="s">
        <v>22</v>
      </c>
      <c r="G368">
        <v>2</v>
      </c>
      <c r="H368" t="s">
        <v>235</v>
      </c>
      <c r="I368" t="s">
        <v>95</v>
      </c>
      <c r="J368" t="s">
        <v>57</v>
      </c>
      <c r="N368" t="b">
        <v>1</v>
      </c>
      <c r="O368" t="s">
        <v>275</v>
      </c>
      <c r="P368" t="s">
        <v>27</v>
      </c>
      <c r="Q368" t="s">
        <v>103</v>
      </c>
      <c r="S368" s="1">
        <v>0.84861111111111109</v>
      </c>
      <c r="T368" s="1">
        <v>0.9555555555555556</v>
      </c>
      <c r="U368">
        <v>154</v>
      </c>
      <c r="V368" t="b">
        <v>1</v>
      </c>
      <c r="W368" t="s">
        <v>163</v>
      </c>
      <c r="X368" t="s">
        <v>65</v>
      </c>
      <c r="Y368" t="s">
        <v>51</v>
      </c>
      <c r="Z368" t="b">
        <v>0</v>
      </c>
      <c r="AA368" t="s">
        <v>456</v>
      </c>
      <c r="AB368" t="b">
        <v>0</v>
      </c>
      <c r="AD368" s="2"/>
    </row>
    <row r="369" spans="1:30" x14ac:dyDescent="0.25">
      <c r="A369">
        <v>368</v>
      </c>
      <c r="B369" t="s">
        <v>25</v>
      </c>
      <c r="C369" s="3">
        <v>37081</v>
      </c>
      <c r="D369" s="2">
        <f ca="1">DATEDIF(gym_membership[[#This Row],[birthday]],TODAY(),"y")</f>
        <v>25</v>
      </c>
      <c r="E369">
        <v>23</v>
      </c>
      <c r="F369" t="s">
        <v>18</v>
      </c>
      <c r="G369">
        <v>1</v>
      </c>
      <c r="H369" t="s">
        <v>94</v>
      </c>
      <c r="I369" t="s">
        <v>94</v>
      </c>
      <c r="N369" t="b">
        <v>1</v>
      </c>
      <c r="O369" t="s">
        <v>96</v>
      </c>
      <c r="P369" t="s">
        <v>96</v>
      </c>
      <c r="S369" s="1">
        <v>0.8618055555555556</v>
      </c>
      <c r="T369" s="1">
        <v>0.95833333333333337</v>
      </c>
      <c r="U369">
        <v>139</v>
      </c>
      <c r="V369" t="b">
        <v>0</v>
      </c>
      <c r="W369" t="s">
        <v>21</v>
      </c>
      <c r="Z369" t="b">
        <v>1</v>
      </c>
      <c r="AA369" t="s">
        <v>24</v>
      </c>
      <c r="AB369" t="b">
        <v>0</v>
      </c>
      <c r="AD369" s="2"/>
    </row>
    <row r="370" spans="1:30" x14ac:dyDescent="0.25">
      <c r="A370">
        <v>369</v>
      </c>
      <c r="B370" t="s">
        <v>25</v>
      </c>
      <c r="C370" s="3">
        <v>34828</v>
      </c>
      <c r="D370" s="2">
        <f ca="1">DATEDIF(gym_membership[[#This Row],[birthday]],TODAY(),"y")</f>
        <v>31</v>
      </c>
      <c r="E370">
        <v>29</v>
      </c>
      <c r="F370" t="s">
        <v>18</v>
      </c>
      <c r="G370">
        <v>1</v>
      </c>
      <c r="H370" t="s">
        <v>34</v>
      </c>
      <c r="I370" t="s">
        <v>34</v>
      </c>
      <c r="N370" t="b">
        <v>1</v>
      </c>
      <c r="O370" t="s">
        <v>67</v>
      </c>
      <c r="P370" t="s">
        <v>67</v>
      </c>
      <c r="S370" s="1">
        <v>0.72361111111111109</v>
      </c>
      <c r="T370" s="1">
        <v>0.77916666666666667</v>
      </c>
      <c r="U370">
        <v>80</v>
      </c>
      <c r="V370" t="b">
        <v>1</v>
      </c>
      <c r="W370" t="s">
        <v>51</v>
      </c>
      <c r="X370" t="s">
        <v>51</v>
      </c>
      <c r="Z370" t="b">
        <v>1</v>
      </c>
      <c r="AA370" t="s">
        <v>43</v>
      </c>
      <c r="AB370" t="b">
        <v>1</v>
      </c>
      <c r="AD370" s="2"/>
    </row>
    <row r="371" spans="1:30" x14ac:dyDescent="0.25">
      <c r="A371">
        <v>370</v>
      </c>
      <c r="B371" t="s">
        <v>17</v>
      </c>
      <c r="C371" s="3">
        <v>35069</v>
      </c>
      <c r="D371" s="2">
        <f ca="1">DATEDIF(gym_membership[[#This Row],[birthday]],TODAY(),"y")</f>
        <v>30</v>
      </c>
      <c r="E371">
        <v>28</v>
      </c>
      <c r="F371" t="s">
        <v>18</v>
      </c>
      <c r="G371">
        <v>1</v>
      </c>
      <c r="H371" t="s">
        <v>57</v>
      </c>
      <c r="I371" t="s">
        <v>57</v>
      </c>
      <c r="N371" t="b">
        <v>1</v>
      </c>
      <c r="O371" t="s">
        <v>276</v>
      </c>
      <c r="P371" t="s">
        <v>100</v>
      </c>
      <c r="Q371" t="s">
        <v>91</v>
      </c>
      <c r="R371" t="s">
        <v>103</v>
      </c>
      <c r="S371" s="1">
        <v>0.54722222222222228</v>
      </c>
      <c r="T371" s="1">
        <v>0.60763888888888884</v>
      </c>
      <c r="U371">
        <v>87</v>
      </c>
      <c r="V371" t="b">
        <v>1</v>
      </c>
      <c r="W371" t="s">
        <v>51</v>
      </c>
      <c r="X371" t="s">
        <v>51</v>
      </c>
      <c r="Z371" t="b">
        <v>1</v>
      </c>
      <c r="AA371" t="s">
        <v>45</v>
      </c>
      <c r="AB371" t="b">
        <v>1</v>
      </c>
      <c r="AD371" s="2"/>
    </row>
    <row r="372" spans="1:30" x14ac:dyDescent="0.25">
      <c r="A372">
        <v>371</v>
      </c>
      <c r="B372" t="s">
        <v>25</v>
      </c>
      <c r="C372" s="3">
        <v>37766</v>
      </c>
      <c r="D372" s="2">
        <f ca="1">DATEDIF(gym_membership[[#This Row],[birthday]],TODAY(),"y")</f>
        <v>23</v>
      </c>
      <c r="E372">
        <v>21</v>
      </c>
      <c r="F372" t="s">
        <v>18</v>
      </c>
      <c r="G372">
        <v>2</v>
      </c>
      <c r="H372" t="s">
        <v>37</v>
      </c>
      <c r="I372" t="s">
        <v>34</v>
      </c>
      <c r="J372" t="s">
        <v>77</v>
      </c>
      <c r="N372" t="b">
        <v>0</v>
      </c>
      <c r="O372" t="s">
        <v>21</v>
      </c>
      <c r="S372" s="1">
        <v>0.84027777777777779</v>
      </c>
      <c r="T372" s="1">
        <v>0.91388888888888886</v>
      </c>
      <c r="U372">
        <v>106</v>
      </c>
      <c r="V372" t="b">
        <v>0</v>
      </c>
      <c r="W372" t="s">
        <v>21</v>
      </c>
      <c r="Z372" t="b">
        <v>0</v>
      </c>
      <c r="AA372" t="s">
        <v>456</v>
      </c>
      <c r="AB372" t="b">
        <v>1</v>
      </c>
      <c r="AD372" s="2"/>
    </row>
    <row r="373" spans="1:30" x14ac:dyDescent="0.25">
      <c r="A373">
        <v>372</v>
      </c>
      <c r="B373" t="s">
        <v>17</v>
      </c>
      <c r="C373" s="3">
        <v>28773</v>
      </c>
      <c r="D373" s="2">
        <f ca="1">DATEDIF(gym_membership[[#This Row],[birthday]],TODAY(),"y")</f>
        <v>47</v>
      </c>
      <c r="E373">
        <v>46</v>
      </c>
      <c r="F373" t="s">
        <v>18</v>
      </c>
      <c r="G373">
        <v>5</v>
      </c>
      <c r="H373" t="s">
        <v>170</v>
      </c>
      <c r="I373" t="s">
        <v>44</v>
      </c>
      <c r="J373" t="s">
        <v>94</v>
      </c>
      <c r="K373" t="s">
        <v>95</v>
      </c>
      <c r="L373" t="s">
        <v>57</v>
      </c>
      <c r="M373" t="s">
        <v>77</v>
      </c>
      <c r="N373" t="b">
        <v>1</v>
      </c>
      <c r="O373" t="s">
        <v>181</v>
      </c>
      <c r="P373" t="s">
        <v>128</v>
      </c>
      <c r="Q373" t="s">
        <v>41</v>
      </c>
      <c r="S373" s="1">
        <v>0.47083333333333333</v>
      </c>
      <c r="T373" s="1">
        <v>0.58750000000000002</v>
      </c>
      <c r="U373">
        <v>168</v>
      </c>
      <c r="V373" t="b">
        <v>1</v>
      </c>
      <c r="W373" t="s">
        <v>204</v>
      </c>
      <c r="X373" t="s">
        <v>39</v>
      </c>
      <c r="Y373" t="s">
        <v>51</v>
      </c>
      <c r="Z373" t="b">
        <v>1</v>
      </c>
      <c r="AA373" t="s">
        <v>43</v>
      </c>
      <c r="AB373" t="b">
        <v>1</v>
      </c>
      <c r="AD373" s="2"/>
    </row>
    <row r="374" spans="1:30" x14ac:dyDescent="0.25">
      <c r="A374">
        <v>373</v>
      </c>
      <c r="B374" t="s">
        <v>17</v>
      </c>
      <c r="C374" s="3">
        <v>33476</v>
      </c>
      <c r="D374" s="2">
        <f ca="1">DATEDIF(gym_membership[[#This Row],[birthday]],TODAY(),"y")</f>
        <v>35</v>
      </c>
      <c r="E374">
        <v>33</v>
      </c>
      <c r="F374" t="s">
        <v>18</v>
      </c>
      <c r="G374">
        <v>2</v>
      </c>
      <c r="H374" t="s">
        <v>140</v>
      </c>
      <c r="I374" t="s">
        <v>26</v>
      </c>
      <c r="J374" t="s">
        <v>94</v>
      </c>
      <c r="N374" t="b">
        <v>1</v>
      </c>
      <c r="O374" t="s">
        <v>277</v>
      </c>
      <c r="P374" t="s">
        <v>96</v>
      </c>
      <c r="Q374" t="s">
        <v>58</v>
      </c>
      <c r="R374" t="s">
        <v>91</v>
      </c>
      <c r="S374" s="1">
        <v>0.36944444444444446</v>
      </c>
      <c r="T374" s="1">
        <v>0.46319444444444446</v>
      </c>
      <c r="U374">
        <v>135</v>
      </c>
      <c r="V374" t="b">
        <v>0</v>
      </c>
      <c r="W374" t="s">
        <v>21</v>
      </c>
      <c r="Z374" t="b">
        <v>0</v>
      </c>
      <c r="AA374" t="s">
        <v>456</v>
      </c>
      <c r="AB374" t="b">
        <v>1</v>
      </c>
      <c r="AD374" s="2"/>
    </row>
    <row r="375" spans="1:30" x14ac:dyDescent="0.25">
      <c r="A375">
        <v>374</v>
      </c>
      <c r="B375" t="s">
        <v>17</v>
      </c>
      <c r="C375" s="3">
        <v>31032</v>
      </c>
      <c r="D375" s="2">
        <f ca="1">DATEDIF(gym_membership[[#This Row],[birthday]],TODAY(),"y")</f>
        <v>41</v>
      </c>
      <c r="E375">
        <v>39</v>
      </c>
      <c r="F375" t="s">
        <v>18</v>
      </c>
      <c r="G375">
        <v>2</v>
      </c>
      <c r="H375" t="s">
        <v>126</v>
      </c>
      <c r="I375" t="s">
        <v>94</v>
      </c>
      <c r="J375" t="s">
        <v>57</v>
      </c>
      <c r="N375" t="b">
        <v>1</v>
      </c>
      <c r="O375" t="s">
        <v>278</v>
      </c>
      <c r="P375" t="s">
        <v>67</v>
      </c>
      <c r="Q375" t="s">
        <v>58</v>
      </c>
      <c r="S375" s="1">
        <v>0.73819444444444449</v>
      </c>
      <c r="T375" s="1">
        <v>0.77500000000000002</v>
      </c>
      <c r="U375">
        <v>53</v>
      </c>
      <c r="V375" t="b">
        <v>0</v>
      </c>
      <c r="W375" t="s">
        <v>21</v>
      </c>
      <c r="Z375" t="b">
        <v>1</v>
      </c>
      <c r="AA375" t="s">
        <v>24</v>
      </c>
      <c r="AB375" t="b">
        <v>1</v>
      </c>
      <c r="AD375" s="2"/>
    </row>
    <row r="376" spans="1:30" x14ac:dyDescent="0.25">
      <c r="A376">
        <v>375</v>
      </c>
      <c r="B376" t="s">
        <v>25</v>
      </c>
      <c r="C376" s="3">
        <v>36143</v>
      </c>
      <c r="D376" s="2">
        <f ca="1">DATEDIF(gym_membership[[#This Row],[birthday]],TODAY(),"y")</f>
        <v>27</v>
      </c>
      <c r="E376">
        <v>25</v>
      </c>
      <c r="F376" t="s">
        <v>18</v>
      </c>
      <c r="G376">
        <v>2</v>
      </c>
      <c r="H376" t="s">
        <v>62</v>
      </c>
      <c r="I376" t="s">
        <v>44</v>
      </c>
      <c r="J376" t="s">
        <v>34</v>
      </c>
      <c r="N376" t="b">
        <v>0</v>
      </c>
      <c r="O376" t="s">
        <v>21</v>
      </c>
      <c r="S376" s="1">
        <v>0.70416666666666672</v>
      </c>
      <c r="T376" s="1">
        <v>0.76388888888888884</v>
      </c>
      <c r="U376">
        <v>86</v>
      </c>
      <c r="V376" t="b">
        <v>0</v>
      </c>
      <c r="W376" t="s">
        <v>21</v>
      </c>
      <c r="Z376" t="b">
        <v>1</v>
      </c>
      <c r="AA376" t="s">
        <v>29</v>
      </c>
      <c r="AB376" t="b">
        <v>0</v>
      </c>
      <c r="AD376" s="2"/>
    </row>
    <row r="377" spans="1:30" x14ac:dyDescent="0.25">
      <c r="A377">
        <v>376</v>
      </c>
      <c r="B377" t="s">
        <v>17</v>
      </c>
      <c r="C377" s="3">
        <v>34909</v>
      </c>
      <c r="D377" s="2">
        <f ca="1">DATEDIF(gym_membership[[#This Row],[birthday]],TODAY(),"y")</f>
        <v>31</v>
      </c>
      <c r="E377">
        <v>29</v>
      </c>
      <c r="F377" t="s">
        <v>18</v>
      </c>
      <c r="G377">
        <v>3</v>
      </c>
      <c r="H377" t="s">
        <v>40</v>
      </c>
      <c r="I377" t="s">
        <v>26</v>
      </c>
      <c r="J377" t="s">
        <v>94</v>
      </c>
      <c r="K377" t="s">
        <v>95</v>
      </c>
      <c r="N377" t="b">
        <v>1</v>
      </c>
      <c r="O377" t="s">
        <v>279</v>
      </c>
      <c r="P377" t="s">
        <v>41</v>
      </c>
      <c r="Q377" t="s">
        <v>91</v>
      </c>
      <c r="S377" s="1">
        <v>0.84444444444444444</v>
      </c>
      <c r="T377" s="1">
        <v>0.96111111111111114</v>
      </c>
      <c r="U377">
        <v>168</v>
      </c>
      <c r="V377" t="b">
        <v>1</v>
      </c>
      <c r="W377" t="s">
        <v>217</v>
      </c>
      <c r="X377" t="s">
        <v>76</v>
      </c>
      <c r="Y377" t="s">
        <v>59</v>
      </c>
      <c r="Z377" t="b">
        <v>0</v>
      </c>
      <c r="AA377" t="s">
        <v>456</v>
      </c>
      <c r="AB377" t="b">
        <v>0</v>
      </c>
      <c r="AD377" s="2"/>
    </row>
    <row r="378" spans="1:30" x14ac:dyDescent="0.25">
      <c r="A378">
        <v>377</v>
      </c>
      <c r="B378" t="s">
        <v>25</v>
      </c>
      <c r="C378" s="3">
        <v>33159</v>
      </c>
      <c r="D378" s="2">
        <f ca="1">DATEDIF(gym_membership[[#This Row],[birthday]],TODAY(),"y")</f>
        <v>35</v>
      </c>
      <c r="E378">
        <v>34</v>
      </c>
      <c r="F378" t="s">
        <v>18</v>
      </c>
      <c r="G378">
        <v>3</v>
      </c>
      <c r="H378" t="s">
        <v>161</v>
      </c>
      <c r="I378" t="s">
        <v>44</v>
      </c>
      <c r="J378" t="s">
        <v>57</v>
      </c>
      <c r="K378" t="s">
        <v>77</v>
      </c>
      <c r="N378" t="b">
        <v>0</v>
      </c>
      <c r="O378" t="s">
        <v>21</v>
      </c>
      <c r="S378" s="1">
        <v>0.60833333333333328</v>
      </c>
      <c r="T378" s="1">
        <v>0.66388888888888886</v>
      </c>
      <c r="U378">
        <v>80</v>
      </c>
      <c r="V378" t="b">
        <v>0</v>
      </c>
      <c r="W378" t="s">
        <v>21</v>
      </c>
      <c r="Z378" t="b">
        <v>1</v>
      </c>
      <c r="AA378" t="s">
        <v>29</v>
      </c>
      <c r="AB378" t="b">
        <v>0</v>
      </c>
      <c r="AD378" s="2"/>
    </row>
    <row r="379" spans="1:30" x14ac:dyDescent="0.25">
      <c r="A379">
        <v>378</v>
      </c>
      <c r="B379" t="s">
        <v>25</v>
      </c>
      <c r="C379" s="3">
        <v>30916</v>
      </c>
      <c r="D379" s="2">
        <f ca="1">DATEDIF(gym_membership[[#This Row],[birthday]],TODAY(),"y")</f>
        <v>42</v>
      </c>
      <c r="E379">
        <v>40</v>
      </c>
      <c r="F379" t="s">
        <v>18</v>
      </c>
      <c r="G379">
        <v>2</v>
      </c>
      <c r="H379" t="s">
        <v>89</v>
      </c>
      <c r="I379" t="s">
        <v>26</v>
      </c>
      <c r="J379" t="s">
        <v>95</v>
      </c>
      <c r="N379" t="b">
        <v>1</v>
      </c>
      <c r="O379" t="s">
        <v>128</v>
      </c>
      <c r="P379" t="s">
        <v>128</v>
      </c>
      <c r="S379" s="1">
        <v>0.78611111111111109</v>
      </c>
      <c r="T379" s="1">
        <v>0.8208333333333333</v>
      </c>
      <c r="U379">
        <v>50</v>
      </c>
      <c r="V379" t="b">
        <v>1</v>
      </c>
      <c r="W379" t="s">
        <v>65</v>
      </c>
      <c r="X379" t="s">
        <v>65</v>
      </c>
      <c r="Z379" t="b">
        <v>0</v>
      </c>
      <c r="AA379" t="s">
        <v>456</v>
      </c>
      <c r="AB379" t="b">
        <v>1</v>
      </c>
      <c r="AD379" s="2"/>
    </row>
    <row r="380" spans="1:30" x14ac:dyDescent="0.25">
      <c r="A380">
        <v>379</v>
      </c>
      <c r="B380" t="s">
        <v>17</v>
      </c>
      <c r="C380" s="3">
        <v>40244</v>
      </c>
      <c r="D380" s="2">
        <f ca="1">DATEDIF(gym_membership[[#This Row],[birthday]],TODAY(),"y")</f>
        <v>16</v>
      </c>
      <c r="E380">
        <v>14</v>
      </c>
      <c r="F380" t="s">
        <v>18</v>
      </c>
      <c r="G380">
        <v>3</v>
      </c>
      <c r="H380" t="s">
        <v>138</v>
      </c>
      <c r="I380" t="s">
        <v>94</v>
      </c>
      <c r="J380" t="s">
        <v>95</v>
      </c>
      <c r="K380" t="s">
        <v>57</v>
      </c>
      <c r="N380" t="b">
        <v>0</v>
      </c>
      <c r="O380" t="s">
        <v>21</v>
      </c>
      <c r="S380" s="1">
        <v>0.35347222222222224</v>
      </c>
      <c r="T380" s="1">
        <v>0.44097222222222221</v>
      </c>
      <c r="U380">
        <v>126</v>
      </c>
      <c r="V380" t="b">
        <v>0</v>
      </c>
      <c r="W380" t="s">
        <v>21</v>
      </c>
      <c r="Z380" t="b">
        <v>0</v>
      </c>
      <c r="AA380" t="s">
        <v>456</v>
      </c>
      <c r="AB380" t="b">
        <v>0</v>
      </c>
      <c r="AD380" s="2"/>
    </row>
    <row r="381" spans="1:30" x14ac:dyDescent="0.25">
      <c r="A381">
        <v>380</v>
      </c>
      <c r="B381" t="s">
        <v>25</v>
      </c>
      <c r="C381" s="3">
        <v>29739</v>
      </c>
      <c r="D381" s="2">
        <f ca="1">DATEDIF(gym_membership[[#This Row],[birthday]],TODAY(),"y")</f>
        <v>45</v>
      </c>
      <c r="E381">
        <v>43</v>
      </c>
      <c r="F381" t="s">
        <v>22</v>
      </c>
      <c r="G381">
        <v>1</v>
      </c>
      <c r="H381" t="s">
        <v>77</v>
      </c>
      <c r="I381" t="s">
        <v>77</v>
      </c>
      <c r="N381" t="b">
        <v>0</v>
      </c>
      <c r="O381" t="s">
        <v>21</v>
      </c>
      <c r="S381" s="1">
        <v>0.81805555555555554</v>
      </c>
      <c r="T381" s="1">
        <v>0.87222222222222223</v>
      </c>
      <c r="U381">
        <v>78</v>
      </c>
      <c r="V381" t="b">
        <v>1</v>
      </c>
      <c r="W381" t="s">
        <v>76</v>
      </c>
      <c r="X381" t="s">
        <v>76</v>
      </c>
      <c r="Z381" t="b">
        <v>0</v>
      </c>
      <c r="AA381" t="s">
        <v>456</v>
      </c>
      <c r="AB381" t="b">
        <v>0</v>
      </c>
      <c r="AD381" s="2"/>
    </row>
    <row r="382" spans="1:30" x14ac:dyDescent="0.25">
      <c r="A382">
        <v>381</v>
      </c>
      <c r="B382" t="s">
        <v>25</v>
      </c>
      <c r="C382" s="3">
        <v>36001</v>
      </c>
      <c r="D382" s="2">
        <f ca="1">DATEDIF(gym_membership[[#This Row],[birthday]],TODAY(),"y")</f>
        <v>28</v>
      </c>
      <c r="E382">
        <v>26</v>
      </c>
      <c r="F382" t="s">
        <v>18</v>
      </c>
      <c r="G382">
        <v>5</v>
      </c>
      <c r="H382" t="s">
        <v>211</v>
      </c>
      <c r="I382" t="s">
        <v>44</v>
      </c>
      <c r="J382" t="s">
        <v>34</v>
      </c>
      <c r="K382" t="s">
        <v>94</v>
      </c>
      <c r="L382" t="s">
        <v>57</v>
      </c>
      <c r="M382" t="s">
        <v>77</v>
      </c>
      <c r="N382" t="b">
        <v>0</v>
      </c>
      <c r="O382" t="s">
        <v>21</v>
      </c>
      <c r="S382" s="1">
        <v>0.75069444444444444</v>
      </c>
      <c r="T382" s="1">
        <v>0.77986111111111112</v>
      </c>
      <c r="U382">
        <v>42</v>
      </c>
      <c r="V382" t="b">
        <v>1</v>
      </c>
      <c r="W382" t="s">
        <v>69</v>
      </c>
      <c r="X382" t="s">
        <v>65</v>
      </c>
      <c r="Y382" t="s">
        <v>39</v>
      </c>
      <c r="Z382" t="b">
        <v>0</v>
      </c>
      <c r="AA382" t="s">
        <v>456</v>
      </c>
      <c r="AB382" t="b">
        <v>0</v>
      </c>
      <c r="AD382" s="2"/>
    </row>
    <row r="383" spans="1:30" x14ac:dyDescent="0.25">
      <c r="A383">
        <v>382</v>
      </c>
      <c r="B383" t="s">
        <v>25</v>
      </c>
      <c r="C383" s="3">
        <v>28830</v>
      </c>
      <c r="D383" s="2">
        <f ca="1">DATEDIF(gym_membership[[#This Row],[birthday]],TODAY(),"y")</f>
        <v>47</v>
      </c>
      <c r="E383">
        <v>45</v>
      </c>
      <c r="F383" t="s">
        <v>18</v>
      </c>
      <c r="G383">
        <v>2</v>
      </c>
      <c r="H383" t="s">
        <v>37</v>
      </c>
      <c r="I383" t="s">
        <v>34</v>
      </c>
      <c r="J383" t="s">
        <v>77</v>
      </c>
      <c r="N383" t="b">
        <v>1</v>
      </c>
      <c r="O383" t="s">
        <v>280</v>
      </c>
      <c r="P383" t="s">
        <v>67</v>
      </c>
      <c r="Q383" t="s">
        <v>100</v>
      </c>
      <c r="S383" s="1">
        <v>0.59722222222222221</v>
      </c>
      <c r="T383" s="1">
        <v>0.72222222222222221</v>
      </c>
      <c r="U383">
        <v>180</v>
      </c>
      <c r="V383" t="b">
        <v>1</v>
      </c>
      <c r="W383" t="s">
        <v>51</v>
      </c>
      <c r="X383" t="s">
        <v>51</v>
      </c>
      <c r="Z383" t="b">
        <v>1</v>
      </c>
      <c r="AA383" t="s">
        <v>45</v>
      </c>
      <c r="AB383" t="b">
        <v>1</v>
      </c>
      <c r="AD383" s="2"/>
    </row>
    <row r="384" spans="1:30" x14ac:dyDescent="0.25">
      <c r="A384">
        <v>383</v>
      </c>
      <c r="B384" t="s">
        <v>17</v>
      </c>
      <c r="C384" s="3">
        <v>36035</v>
      </c>
      <c r="D384" s="2">
        <f ca="1">DATEDIF(gym_membership[[#This Row],[birthday]],TODAY(),"y")</f>
        <v>28</v>
      </c>
      <c r="E384">
        <v>26</v>
      </c>
      <c r="F384" t="s">
        <v>22</v>
      </c>
      <c r="G384">
        <v>2</v>
      </c>
      <c r="H384" t="s">
        <v>89</v>
      </c>
      <c r="I384" t="s">
        <v>26</v>
      </c>
      <c r="J384" t="s">
        <v>95</v>
      </c>
      <c r="N384" t="b">
        <v>0</v>
      </c>
      <c r="O384" t="s">
        <v>21</v>
      </c>
      <c r="S384" s="1">
        <v>0.85138888888888886</v>
      </c>
      <c r="T384" s="1">
        <v>0.89236111111111116</v>
      </c>
      <c r="U384">
        <v>59</v>
      </c>
      <c r="V384" t="b">
        <v>0</v>
      </c>
      <c r="W384" t="s">
        <v>21</v>
      </c>
      <c r="Z384" t="b">
        <v>1</v>
      </c>
      <c r="AA384" t="s">
        <v>24</v>
      </c>
      <c r="AB384" t="b">
        <v>1</v>
      </c>
      <c r="AD384" s="2"/>
    </row>
    <row r="385" spans="1:30" x14ac:dyDescent="0.25">
      <c r="A385">
        <v>384</v>
      </c>
      <c r="B385" t="s">
        <v>17</v>
      </c>
      <c r="C385" s="3">
        <v>35958</v>
      </c>
      <c r="D385" s="2">
        <f ca="1">DATEDIF(gym_membership[[#This Row],[birthday]],TODAY(),"y")</f>
        <v>28</v>
      </c>
      <c r="E385">
        <v>26</v>
      </c>
      <c r="F385" t="s">
        <v>18</v>
      </c>
      <c r="G385">
        <v>3</v>
      </c>
      <c r="H385" t="s">
        <v>56</v>
      </c>
      <c r="I385" t="s">
        <v>26</v>
      </c>
      <c r="J385" t="s">
        <v>95</v>
      </c>
      <c r="K385" t="s">
        <v>57</v>
      </c>
      <c r="N385" t="b">
        <v>1</v>
      </c>
      <c r="O385" t="s">
        <v>281</v>
      </c>
      <c r="P385" t="s">
        <v>96</v>
      </c>
      <c r="Q385" t="s">
        <v>58</v>
      </c>
      <c r="R385" t="s">
        <v>120</v>
      </c>
      <c r="S385" s="1">
        <v>0.73263888888888884</v>
      </c>
      <c r="T385" s="1">
        <v>0.77152777777777781</v>
      </c>
      <c r="U385">
        <v>56</v>
      </c>
      <c r="V385" t="b">
        <v>1</v>
      </c>
      <c r="W385" t="s">
        <v>204</v>
      </c>
      <c r="X385" t="s">
        <v>39</v>
      </c>
      <c r="Y385" t="s">
        <v>51</v>
      </c>
      <c r="Z385" t="b">
        <v>0</v>
      </c>
      <c r="AA385" t="s">
        <v>456</v>
      </c>
      <c r="AB385" t="b">
        <v>1</v>
      </c>
      <c r="AD385" s="2"/>
    </row>
    <row r="386" spans="1:30" x14ac:dyDescent="0.25">
      <c r="A386">
        <v>385</v>
      </c>
      <c r="B386" t="s">
        <v>17</v>
      </c>
      <c r="C386" s="3">
        <v>39459</v>
      </c>
      <c r="D386" s="2">
        <f ca="1">DATEDIF(gym_membership[[#This Row],[birthday]],TODAY(),"y")</f>
        <v>18</v>
      </c>
      <c r="E386">
        <v>16</v>
      </c>
      <c r="F386" t="s">
        <v>18</v>
      </c>
      <c r="G386">
        <v>3</v>
      </c>
      <c r="H386" t="s">
        <v>81</v>
      </c>
      <c r="I386" t="s">
        <v>94</v>
      </c>
      <c r="J386" t="s">
        <v>95</v>
      </c>
      <c r="K386" t="s">
        <v>77</v>
      </c>
      <c r="N386" t="b">
        <v>1</v>
      </c>
      <c r="O386" t="s">
        <v>282</v>
      </c>
      <c r="P386" t="s">
        <v>91</v>
      </c>
      <c r="Q386" t="s">
        <v>67</v>
      </c>
      <c r="R386" t="s">
        <v>58</v>
      </c>
      <c r="S386" s="1">
        <v>0.53125</v>
      </c>
      <c r="T386" s="1">
        <v>0.61250000000000004</v>
      </c>
      <c r="U386">
        <v>117</v>
      </c>
      <c r="V386" t="b">
        <v>1</v>
      </c>
      <c r="W386" t="s">
        <v>42</v>
      </c>
      <c r="X386" t="s">
        <v>59</v>
      </c>
      <c r="Y386" t="s">
        <v>65</v>
      </c>
      <c r="Z386" t="b">
        <v>1</v>
      </c>
      <c r="AA386" t="s">
        <v>45</v>
      </c>
      <c r="AB386" t="b">
        <v>0</v>
      </c>
      <c r="AD386" s="2"/>
    </row>
    <row r="387" spans="1:30" x14ac:dyDescent="0.25">
      <c r="A387">
        <v>386</v>
      </c>
      <c r="B387" t="s">
        <v>25</v>
      </c>
      <c r="C387" s="3">
        <v>27554</v>
      </c>
      <c r="D387" s="2">
        <f ca="1">DATEDIF(gym_membership[[#This Row],[birthday]],TODAY(),"y")</f>
        <v>51</v>
      </c>
      <c r="E387">
        <v>49</v>
      </c>
      <c r="F387" t="s">
        <v>18</v>
      </c>
      <c r="G387">
        <v>1</v>
      </c>
      <c r="H387" t="s">
        <v>44</v>
      </c>
      <c r="I387" t="s">
        <v>44</v>
      </c>
      <c r="N387" t="b">
        <v>1</v>
      </c>
      <c r="O387" t="s">
        <v>283</v>
      </c>
      <c r="P387" t="s">
        <v>120</v>
      </c>
      <c r="Q387" t="s">
        <v>96</v>
      </c>
      <c r="S387" s="1">
        <v>0.54583333333333328</v>
      </c>
      <c r="T387" s="1">
        <v>0.60347222222222219</v>
      </c>
      <c r="U387">
        <v>83</v>
      </c>
      <c r="V387" t="b">
        <v>0</v>
      </c>
      <c r="W387" t="s">
        <v>21</v>
      </c>
      <c r="Z387" t="b">
        <v>1</v>
      </c>
      <c r="AA387" t="s">
        <v>45</v>
      </c>
      <c r="AB387" t="b">
        <v>1</v>
      </c>
      <c r="AD387" s="2"/>
    </row>
    <row r="388" spans="1:30" x14ac:dyDescent="0.25">
      <c r="A388">
        <v>387</v>
      </c>
      <c r="B388" t="s">
        <v>25</v>
      </c>
      <c r="C388" s="3">
        <v>36041</v>
      </c>
      <c r="D388" s="2">
        <f ca="1">DATEDIF(gym_membership[[#This Row],[birthday]],TODAY(),"y")</f>
        <v>27</v>
      </c>
      <c r="E388">
        <v>26</v>
      </c>
      <c r="F388" t="s">
        <v>18</v>
      </c>
      <c r="G388">
        <v>2</v>
      </c>
      <c r="H388" t="s">
        <v>98</v>
      </c>
      <c r="I388" t="s">
        <v>57</v>
      </c>
      <c r="J388" t="s">
        <v>77</v>
      </c>
      <c r="N388" t="b">
        <v>1</v>
      </c>
      <c r="O388" t="s">
        <v>27</v>
      </c>
      <c r="P388" t="s">
        <v>27</v>
      </c>
      <c r="S388" s="1">
        <v>0.79722222222222228</v>
      </c>
      <c r="T388" s="1">
        <v>0.8881944444444444</v>
      </c>
      <c r="U388">
        <v>131</v>
      </c>
      <c r="V388" t="b">
        <v>1</v>
      </c>
      <c r="W388" t="s">
        <v>51</v>
      </c>
      <c r="X388" t="s">
        <v>51</v>
      </c>
      <c r="Z388" t="b">
        <v>1</v>
      </c>
      <c r="AA388" t="s">
        <v>43</v>
      </c>
      <c r="AB388" t="b">
        <v>1</v>
      </c>
      <c r="AD388" s="2"/>
    </row>
    <row r="389" spans="1:30" x14ac:dyDescent="0.25">
      <c r="A389">
        <v>388</v>
      </c>
      <c r="B389" t="s">
        <v>25</v>
      </c>
      <c r="C389" s="3">
        <v>38428</v>
      </c>
      <c r="D389" s="2">
        <f ca="1">DATEDIF(gym_membership[[#This Row],[birthday]],TODAY(),"y")</f>
        <v>21</v>
      </c>
      <c r="E389">
        <v>19</v>
      </c>
      <c r="F389" t="s">
        <v>22</v>
      </c>
      <c r="G389">
        <v>2</v>
      </c>
      <c r="H389" t="s">
        <v>183</v>
      </c>
      <c r="I389" t="s">
        <v>44</v>
      </c>
      <c r="J389" t="s">
        <v>26</v>
      </c>
      <c r="N389" t="b">
        <v>1</v>
      </c>
      <c r="O389" t="s">
        <v>284</v>
      </c>
      <c r="P389" t="s">
        <v>91</v>
      </c>
      <c r="Q389" t="s">
        <v>120</v>
      </c>
      <c r="S389" s="1">
        <v>0.84930555555555554</v>
      </c>
      <c r="T389" s="1">
        <v>0.90902777777777777</v>
      </c>
      <c r="U389">
        <v>86</v>
      </c>
      <c r="V389" t="b">
        <v>0</v>
      </c>
      <c r="W389" t="s">
        <v>21</v>
      </c>
      <c r="Z389" t="b">
        <v>1</v>
      </c>
      <c r="AA389" t="s">
        <v>43</v>
      </c>
      <c r="AB389" t="b">
        <v>0</v>
      </c>
      <c r="AD389" s="2"/>
    </row>
    <row r="390" spans="1:30" x14ac:dyDescent="0.25">
      <c r="A390">
        <v>389</v>
      </c>
      <c r="B390" t="s">
        <v>17</v>
      </c>
      <c r="C390" s="3">
        <v>33035</v>
      </c>
      <c r="D390" s="2">
        <f ca="1">DATEDIF(gym_membership[[#This Row],[birthday]],TODAY(),"y")</f>
        <v>36</v>
      </c>
      <c r="E390">
        <v>34</v>
      </c>
      <c r="F390" t="s">
        <v>18</v>
      </c>
      <c r="G390">
        <v>1</v>
      </c>
      <c r="H390" t="s">
        <v>95</v>
      </c>
      <c r="I390" t="s">
        <v>95</v>
      </c>
      <c r="N390" t="b">
        <v>1</v>
      </c>
      <c r="O390" t="s">
        <v>285</v>
      </c>
      <c r="P390" t="s">
        <v>100</v>
      </c>
      <c r="Q390" t="s">
        <v>96</v>
      </c>
      <c r="S390" s="1">
        <v>0.74791666666666667</v>
      </c>
      <c r="T390" s="1">
        <v>0.82361111111111107</v>
      </c>
      <c r="U390">
        <v>109</v>
      </c>
      <c r="V390" t="b">
        <v>0</v>
      </c>
      <c r="W390" t="s">
        <v>21</v>
      </c>
      <c r="Z390" t="b">
        <v>1</v>
      </c>
      <c r="AA390" t="s">
        <v>24</v>
      </c>
      <c r="AB390" t="b">
        <v>1</v>
      </c>
      <c r="AD390" s="2"/>
    </row>
    <row r="391" spans="1:30" x14ac:dyDescent="0.25">
      <c r="A391">
        <v>390</v>
      </c>
      <c r="B391" t="s">
        <v>17</v>
      </c>
      <c r="C391" s="3">
        <v>41164</v>
      </c>
      <c r="D391" s="2">
        <f ca="1">DATEDIF(gym_membership[[#This Row],[birthday]],TODAY(),"y")</f>
        <v>13</v>
      </c>
      <c r="E391">
        <v>12</v>
      </c>
      <c r="F391" t="s">
        <v>22</v>
      </c>
      <c r="G391">
        <v>3</v>
      </c>
      <c r="H391" t="s">
        <v>214</v>
      </c>
      <c r="I391" t="s">
        <v>34</v>
      </c>
      <c r="J391" t="s">
        <v>26</v>
      </c>
      <c r="K391" t="s">
        <v>57</v>
      </c>
      <c r="N391" t="b">
        <v>0</v>
      </c>
      <c r="O391" t="s">
        <v>21</v>
      </c>
      <c r="S391" s="1">
        <v>0.37430555555555556</v>
      </c>
      <c r="T391" s="1">
        <v>0.43472222222222223</v>
      </c>
      <c r="U391">
        <v>87</v>
      </c>
      <c r="V391" t="b">
        <v>0</v>
      </c>
      <c r="W391" t="s">
        <v>21</v>
      </c>
      <c r="Z391" t="b">
        <v>1</v>
      </c>
      <c r="AA391" t="s">
        <v>45</v>
      </c>
      <c r="AB391" t="b">
        <v>0</v>
      </c>
      <c r="AD391" s="2"/>
    </row>
    <row r="392" spans="1:30" x14ac:dyDescent="0.25">
      <c r="A392">
        <v>391</v>
      </c>
      <c r="B392" t="s">
        <v>17</v>
      </c>
      <c r="C392" s="3">
        <v>35832</v>
      </c>
      <c r="D392" s="2">
        <f ca="1">DATEDIF(gym_membership[[#This Row],[birthday]],TODAY(),"y")</f>
        <v>28</v>
      </c>
      <c r="E392">
        <v>26</v>
      </c>
      <c r="F392" t="s">
        <v>22</v>
      </c>
      <c r="G392">
        <v>5</v>
      </c>
      <c r="H392" t="s">
        <v>117</v>
      </c>
      <c r="I392" t="s">
        <v>44</v>
      </c>
      <c r="J392" t="s">
        <v>34</v>
      </c>
      <c r="K392" t="s">
        <v>26</v>
      </c>
      <c r="L392" t="s">
        <v>95</v>
      </c>
      <c r="M392" t="s">
        <v>57</v>
      </c>
      <c r="N392" t="b">
        <v>0</v>
      </c>
      <c r="O392" t="s">
        <v>21</v>
      </c>
      <c r="S392" s="1">
        <v>0.56527777777777777</v>
      </c>
      <c r="T392" s="1">
        <v>0.6381944444444444</v>
      </c>
      <c r="U392">
        <v>105</v>
      </c>
      <c r="V392" t="b">
        <v>1</v>
      </c>
      <c r="W392" t="s">
        <v>153</v>
      </c>
      <c r="X392" t="s">
        <v>31</v>
      </c>
      <c r="Y392" t="s">
        <v>76</v>
      </c>
      <c r="Z392" t="b">
        <v>0</v>
      </c>
      <c r="AA392" t="s">
        <v>456</v>
      </c>
      <c r="AB392" t="b">
        <v>1</v>
      </c>
      <c r="AD392" s="2"/>
    </row>
    <row r="393" spans="1:30" x14ac:dyDescent="0.25">
      <c r="A393">
        <v>392</v>
      </c>
      <c r="B393" t="s">
        <v>17</v>
      </c>
      <c r="C393" s="3">
        <v>31185</v>
      </c>
      <c r="D393" s="2">
        <f ca="1">DATEDIF(gym_membership[[#This Row],[birthday]],TODAY(),"y")</f>
        <v>41</v>
      </c>
      <c r="E393">
        <v>39</v>
      </c>
      <c r="F393" t="s">
        <v>22</v>
      </c>
      <c r="G393">
        <v>2</v>
      </c>
      <c r="H393" t="s">
        <v>32</v>
      </c>
      <c r="I393" t="s">
        <v>95</v>
      </c>
      <c r="J393" t="s">
        <v>77</v>
      </c>
      <c r="N393" t="b">
        <v>1</v>
      </c>
      <c r="O393" t="s">
        <v>286</v>
      </c>
      <c r="P393" t="s">
        <v>100</v>
      </c>
      <c r="Q393" t="s">
        <v>103</v>
      </c>
      <c r="S393" s="1">
        <v>0.35069444444444442</v>
      </c>
      <c r="T393" s="1">
        <v>0.4236111111111111</v>
      </c>
      <c r="U393">
        <v>105</v>
      </c>
      <c r="V393" t="b">
        <v>0</v>
      </c>
      <c r="W393" t="s">
        <v>21</v>
      </c>
      <c r="Z393" t="b">
        <v>1</v>
      </c>
      <c r="AA393" t="s">
        <v>43</v>
      </c>
      <c r="AB393" t="b">
        <v>0</v>
      </c>
      <c r="AD393" s="2"/>
    </row>
    <row r="394" spans="1:30" x14ac:dyDescent="0.25">
      <c r="A394">
        <v>393</v>
      </c>
      <c r="B394" t="s">
        <v>17</v>
      </c>
      <c r="C394" s="3">
        <v>30556</v>
      </c>
      <c r="D394" s="2">
        <f ca="1">DATEDIF(gym_membership[[#This Row],[birthday]],TODAY(),"y")</f>
        <v>43</v>
      </c>
      <c r="E394">
        <v>41</v>
      </c>
      <c r="F394" t="s">
        <v>22</v>
      </c>
      <c r="G394">
        <v>4</v>
      </c>
      <c r="H394" t="s">
        <v>287</v>
      </c>
      <c r="I394" t="s">
        <v>34</v>
      </c>
      <c r="J394" t="s">
        <v>94</v>
      </c>
      <c r="K394" t="s">
        <v>57</v>
      </c>
      <c r="L394" t="s">
        <v>77</v>
      </c>
      <c r="N394" t="b">
        <v>1</v>
      </c>
      <c r="O394" t="s">
        <v>288</v>
      </c>
      <c r="P394" t="s">
        <v>27</v>
      </c>
      <c r="Q394" t="s">
        <v>100</v>
      </c>
      <c r="S394" s="1">
        <v>0.42291666666666666</v>
      </c>
      <c r="T394" s="1">
        <v>0.45624999999999999</v>
      </c>
      <c r="U394">
        <v>48</v>
      </c>
      <c r="V394" t="b">
        <v>1</v>
      </c>
      <c r="W394" t="s">
        <v>97</v>
      </c>
      <c r="X394" t="s">
        <v>39</v>
      </c>
      <c r="Y394" t="s">
        <v>31</v>
      </c>
      <c r="Z394" t="b">
        <v>0</v>
      </c>
      <c r="AA394" t="s">
        <v>456</v>
      </c>
      <c r="AB394" t="b">
        <v>0</v>
      </c>
      <c r="AD394" s="2"/>
    </row>
    <row r="395" spans="1:30" x14ac:dyDescent="0.25">
      <c r="A395">
        <v>394</v>
      </c>
      <c r="B395" t="s">
        <v>17</v>
      </c>
      <c r="C395" s="3">
        <v>39216</v>
      </c>
      <c r="D395" s="2">
        <f ca="1">DATEDIF(gym_membership[[#This Row],[birthday]],TODAY(),"y")</f>
        <v>19</v>
      </c>
      <c r="E395">
        <v>17</v>
      </c>
      <c r="F395" t="s">
        <v>18</v>
      </c>
      <c r="G395">
        <v>2</v>
      </c>
      <c r="H395" t="s">
        <v>119</v>
      </c>
      <c r="I395" t="s">
        <v>44</v>
      </c>
      <c r="J395" t="s">
        <v>57</v>
      </c>
      <c r="N395" t="b">
        <v>0</v>
      </c>
      <c r="O395" t="s">
        <v>21</v>
      </c>
      <c r="S395" s="1">
        <v>0.39583333333333331</v>
      </c>
      <c r="T395" s="1">
        <v>0.51666666666666672</v>
      </c>
      <c r="U395">
        <v>174</v>
      </c>
      <c r="V395" t="b">
        <v>1</v>
      </c>
      <c r="W395" t="s">
        <v>51</v>
      </c>
      <c r="X395" t="s">
        <v>51</v>
      </c>
      <c r="Z395" t="b">
        <v>1</v>
      </c>
      <c r="AA395" t="s">
        <v>45</v>
      </c>
      <c r="AB395" t="b">
        <v>1</v>
      </c>
      <c r="AD395" s="2"/>
    </row>
    <row r="396" spans="1:30" x14ac:dyDescent="0.25">
      <c r="A396">
        <v>395</v>
      </c>
      <c r="B396" t="s">
        <v>17</v>
      </c>
      <c r="C396" s="3">
        <v>34999</v>
      </c>
      <c r="D396" s="2">
        <f ca="1">DATEDIF(gym_membership[[#This Row],[birthday]],TODAY(),"y")</f>
        <v>30</v>
      </c>
      <c r="E396">
        <v>28</v>
      </c>
      <c r="F396" t="s">
        <v>22</v>
      </c>
      <c r="G396">
        <v>3</v>
      </c>
      <c r="H396" t="s">
        <v>35</v>
      </c>
      <c r="I396" t="s">
        <v>26</v>
      </c>
      <c r="J396" t="s">
        <v>95</v>
      </c>
      <c r="K396" t="s">
        <v>77</v>
      </c>
      <c r="N396" t="b">
        <v>0</v>
      </c>
      <c r="O396" t="s">
        <v>21</v>
      </c>
      <c r="S396" s="1">
        <v>0.83263888888888893</v>
      </c>
      <c r="T396" s="1">
        <v>0.86111111111111116</v>
      </c>
      <c r="U396">
        <v>41</v>
      </c>
      <c r="V396" t="b">
        <v>0</v>
      </c>
      <c r="W396" t="s">
        <v>21</v>
      </c>
      <c r="Z396" t="b">
        <v>1</v>
      </c>
      <c r="AA396" t="s">
        <v>24</v>
      </c>
      <c r="AB396" t="b">
        <v>0</v>
      </c>
      <c r="AD396" s="2"/>
    </row>
    <row r="397" spans="1:30" x14ac:dyDescent="0.25">
      <c r="A397">
        <v>396</v>
      </c>
      <c r="B397" t="s">
        <v>17</v>
      </c>
      <c r="C397" s="3">
        <v>31729</v>
      </c>
      <c r="D397" s="2">
        <f ca="1">DATEDIF(gym_membership[[#This Row],[birthday]],TODAY(),"y")</f>
        <v>39</v>
      </c>
      <c r="E397">
        <v>37</v>
      </c>
      <c r="F397" t="s">
        <v>18</v>
      </c>
      <c r="G397">
        <v>3</v>
      </c>
      <c r="H397" t="s">
        <v>149</v>
      </c>
      <c r="I397" t="s">
        <v>26</v>
      </c>
      <c r="J397" t="s">
        <v>94</v>
      </c>
      <c r="K397" t="s">
        <v>77</v>
      </c>
      <c r="N397" t="b">
        <v>0</v>
      </c>
      <c r="O397" t="s">
        <v>21</v>
      </c>
      <c r="S397" s="1">
        <v>0.54722222222222228</v>
      </c>
      <c r="T397" s="1">
        <v>0.5805555555555556</v>
      </c>
      <c r="U397">
        <v>48</v>
      </c>
      <c r="V397" t="b">
        <v>0</v>
      </c>
      <c r="W397" t="s">
        <v>21</v>
      </c>
      <c r="Z397" t="b">
        <v>0</v>
      </c>
      <c r="AA397" t="s">
        <v>456</v>
      </c>
      <c r="AB397" t="b">
        <v>1</v>
      </c>
      <c r="AD397" s="2"/>
    </row>
    <row r="398" spans="1:30" x14ac:dyDescent="0.25">
      <c r="A398">
        <v>397</v>
      </c>
      <c r="B398" t="s">
        <v>17</v>
      </c>
      <c r="C398" s="3">
        <v>33407</v>
      </c>
      <c r="D398" s="2">
        <f ca="1">DATEDIF(gym_membership[[#This Row],[birthday]],TODAY(),"y")</f>
        <v>35</v>
      </c>
      <c r="E398">
        <v>33</v>
      </c>
      <c r="F398" t="s">
        <v>22</v>
      </c>
      <c r="G398">
        <v>3</v>
      </c>
      <c r="H398" t="s">
        <v>55</v>
      </c>
      <c r="I398" t="s">
        <v>44</v>
      </c>
      <c r="J398" t="s">
        <v>26</v>
      </c>
      <c r="K398" t="s">
        <v>94</v>
      </c>
      <c r="N398" t="b">
        <v>0</v>
      </c>
      <c r="O398" t="s">
        <v>21</v>
      </c>
      <c r="S398" s="1">
        <v>0.3659722222222222</v>
      </c>
      <c r="T398" s="1">
        <v>0.41111111111111109</v>
      </c>
      <c r="U398">
        <v>65</v>
      </c>
      <c r="V398" t="b">
        <v>0</v>
      </c>
      <c r="W398" t="s">
        <v>21</v>
      </c>
      <c r="Z398" t="b">
        <v>0</v>
      </c>
      <c r="AA398" t="s">
        <v>456</v>
      </c>
      <c r="AB398" t="b">
        <v>1</v>
      </c>
      <c r="AD398" s="2"/>
    </row>
    <row r="399" spans="1:30" x14ac:dyDescent="0.25">
      <c r="A399">
        <v>398</v>
      </c>
      <c r="B399" t="s">
        <v>17</v>
      </c>
      <c r="C399" s="3">
        <v>29034</v>
      </c>
      <c r="D399" s="2">
        <f ca="1">DATEDIF(gym_membership[[#This Row],[birthday]],TODAY(),"y")</f>
        <v>47</v>
      </c>
      <c r="E399">
        <v>45</v>
      </c>
      <c r="F399" t="s">
        <v>18</v>
      </c>
      <c r="G399">
        <v>2</v>
      </c>
      <c r="H399" t="s">
        <v>289</v>
      </c>
      <c r="I399" t="s">
        <v>34</v>
      </c>
      <c r="J399" t="s">
        <v>95</v>
      </c>
      <c r="N399" t="b">
        <v>1</v>
      </c>
      <c r="O399" t="s">
        <v>290</v>
      </c>
      <c r="P399" t="s">
        <v>91</v>
      </c>
      <c r="Q399" t="s">
        <v>103</v>
      </c>
      <c r="R399" t="s">
        <v>72</v>
      </c>
      <c r="S399" s="1">
        <v>0.44236111111111109</v>
      </c>
      <c r="T399" s="1">
        <v>0.54861111111111116</v>
      </c>
      <c r="U399">
        <v>153</v>
      </c>
      <c r="V399" t="b">
        <v>1</v>
      </c>
      <c r="W399" t="s">
        <v>257</v>
      </c>
      <c r="X399" t="s">
        <v>39</v>
      </c>
      <c r="Y399" t="s">
        <v>65</v>
      </c>
      <c r="Z399" t="b">
        <v>1</v>
      </c>
      <c r="AA399" t="s">
        <v>45</v>
      </c>
      <c r="AB399" t="b">
        <v>1</v>
      </c>
      <c r="AD399" s="2"/>
    </row>
    <row r="400" spans="1:30" x14ac:dyDescent="0.25">
      <c r="A400">
        <v>399</v>
      </c>
      <c r="B400" t="s">
        <v>25</v>
      </c>
      <c r="C400" s="3">
        <v>39150</v>
      </c>
      <c r="D400" s="2">
        <f ca="1">DATEDIF(gym_membership[[#This Row],[birthday]],TODAY(),"y")</f>
        <v>19</v>
      </c>
      <c r="E400">
        <v>17</v>
      </c>
      <c r="F400" t="s">
        <v>18</v>
      </c>
      <c r="G400">
        <v>2</v>
      </c>
      <c r="H400" t="s">
        <v>183</v>
      </c>
      <c r="I400" t="s">
        <v>44</v>
      </c>
      <c r="J400" t="s">
        <v>26</v>
      </c>
      <c r="N400" t="b">
        <v>0</v>
      </c>
      <c r="O400" t="s">
        <v>21</v>
      </c>
      <c r="S400" s="1">
        <v>0.35972222222222222</v>
      </c>
      <c r="T400" s="1">
        <v>0.47499999999999998</v>
      </c>
      <c r="U400">
        <v>166</v>
      </c>
      <c r="V400" t="b">
        <v>0</v>
      </c>
      <c r="W400" t="s">
        <v>21</v>
      </c>
      <c r="Z400" t="b">
        <v>1</v>
      </c>
      <c r="AA400" t="s">
        <v>29</v>
      </c>
      <c r="AB400" t="b">
        <v>1</v>
      </c>
      <c r="AD400" s="2"/>
    </row>
    <row r="401" spans="1:30" x14ac:dyDescent="0.25">
      <c r="A401">
        <v>400</v>
      </c>
      <c r="B401" t="s">
        <v>25</v>
      </c>
      <c r="C401" s="3">
        <v>34652</v>
      </c>
      <c r="D401" s="2">
        <f ca="1">DATEDIF(gym_membership[[#This Row],[birthday]],TODAY(),"y")</f>
        <v>31</v>
      </c>
      <c r="E401">
        <v>29</v>
      </c>
      <c r="F401" t="s">
        <v>22</v>
      </c>
      <c r="G401">
        <v>3</v>
      </c>
      <c r="H401" t="s">
        <v>193</v>
      </c>
      <c r="I401" t="s">
        <v>44</v>
      </c>
      <c r="J401" t="s">
        <v>26</v>
      </c>
      <c r="K401" t="s">
        <v>95</v>
      </c>
      <c r="N401" t="b">
        <v>1</v>
      </c>
      <c r="O401" t="s">
        <v>120</v>
      </c>
      <c r="P401" t="s">
        <v>120</v>
      </c>
      <c r="S401" s="1">
        <v>0.54305555555555551</v>
      </c>
      <c r="T401" s="1">
        <v>0.58888888888888891</v>
      </c>
      <c r="U401">
        <v>66</v>
      </c>
      <c r="V401" t="b">
        <v>0</v>
      </c>
      <c r="W401" t="s">
        <v>21</v>
      </c>
      <c r="Z401" t="b">
        <v>0</v>
      </c>
      <c r="AA401" t="s">
        <v>456</v>
      </c>
      <c r="AB401" t="b">
        <v>1</v>
      </c>
      <c r="AD401" s="2"/>
    </row>
    <row r="402" spans="1:30" x14ac:dyDescent="0.25">
      <c r="A402">
        <v>401</v>
      </c>
      <c r="B402" t="s">
        <v>17</v>
      </c>
      <c r="C402" s="3">
        <v>38271</v>
      </c>
      <c r="D402" s="2">
        <f ca="1">DATEDIF(gym_membership[[#This Row],[birthday]],TODAY(),"y")</f>
        <v>21</v>
      </c>
      <c r="E402">
        <v>20</v>
      </c>
      <c r="F402" t="s">
        <v>18</v>
      </c>
      <c r="G402">
        <v>1</v>
      </c>
      <c r="H402" t="s">
        <v>77</v>
      </c>
      <c r="I402" t="s">
        <v>77</v>
      </c>
      <c r="N402" t="b">
        <v>0</v>
      </c>
      <c r="O402" t="s">
        <v>21</v>
      </c>
      <c r="S402" s="1">
        <v>0.74444444444444446</v>
      </c>
      <c r="T402" s="1">
        <v>0.78402777777777777</v>
      </c>
      <c r="U402">
        <v>57</v>
      </c>
      <c r="V402" t="b">
        <v>1</v>
      </c>
      <c r="W402" t="s">
        <v>51</v>
      </c>
      <c r="X402" t="s">
        <v>51</v>
      </c>
      <c r="Z402" t="b">
        <v>1</v>
      </c>
      <c r="AA402" t="s">
        <v>45</v>
      </c>
      <c r="AB402" t="b">
        <v>1</v>
      </c>
      <c r="AD402" s="2"/>
    </row>
    <row r="403" spans="1:30" x14ac:dyDescent="0.25">
      <c r="A403">
        <v>402</v>
      </c>
      <c r="B403" t="s">
        <v>17</v>
      </c>
      <c r="C403" s="3">
        <v>39254</v>
      </c>
      <c r="D403" s="2">
        <f ca="1">DATEDIF(gym_membership[[#This Row],[birthday]],TODAY(),"y")</f>
        <v>19</v>
      </c>
      <c r="E403">
        <v>17</v>
      </c>
      <c r="F403" t="s">
        <v>18</v>
      </c>
      <c r="G403">
        <v>2</v>
      </c>
      <c r="H403" t="s">
        <v>228</v>
      </c>
      <c r="I403" t="s">
        <v>44</v>
      </c>
      <c r="J403" t="s">
        <v>95</v>
      </c>
      <c r="N403" t="b">
        <v>1</v>
      </c>
      <c r="O403" t="s">
        <v>291</v>
      </c>
      <c r="P403" t="s">
        <v>91</v>
      </c>
      <c r="Q403" t="s">
        <v>58</v>
      </c>
      <c r="R403" t="s">
        <v>103</v>
      </c>
      <c r="S403" s="1">
        <v>0.70694444444444449</v>
      </c>
      <c r="T403" s="1">
        <v>0.81944444444444442</v>
      </c>
      <c r="U403">
        <v>162</v>
      </c>
      <c r="V403" t="b">
        <v>1</v>
      </c>
      <c r="W403" t="s">
        <v>59</v>
      </c>
      <c r="X403" t="s">
        <v>59</v>
      </c>
      <c r="Z403" t="b">
        <v>0</v>
      </c>
      <c r="AA403" t="s">
        <v>456</v>
      </c>
      <c r="AB403" t="b">
        <v>1</v>
      </c>
      <c r="AD403" s="2"/>
    </row>
    <row r="404" spans="1:30" x14ac:dyDescent="0.25">
      <c r="A404">
        <v>403</v>
      </c>
      <c r="B404" t="s">
        <v>17</v>
      </c>
      <c r="C404" s="3">
        <v>39420</v>
      </c>
      <c r="D404" s="2">
        <f ca="1">DATEDIF(gym_membership[[#This Row],[birthday]],TODAY(),"y")</f>
        <v>18</v>
      </c>
      <c r="E404">
        <v>16</v>
      </c>
      <c r="F404" t="s">
        <v>18</v>
      </c>
      <c r="G404">
        <v>3</v>
      </c>
      <c r="H404" t="s">
        <v>84</v>
      </c>
      <c r="I404" t="s">
        <v>26</v>
      </c>
      <c r="J404" t="s">
        <v>94</v>
      </c>
      <c r="K404" t="s">
        <v>57</v>
      </c>
      <c r="N404" t="b">
        <v>0</v>
      </c>
      <c r="O404" t="s">
        <v>21</v>
      </c>
      <c r="S404" s="1">
        <v>0.63541666666666663</v>
      </c>
      <c r="T404" s="1">
        <v>0.65694444444444444</v>
      </c>
      <c r="U404">
        <v>31</v>
      </c>
      <c r="V404" t="b">
        <v>1</v>
      </c>
      <c r="W404" t="s">
        <v>31</v>
      </c>
      <c r="X404" t="s">
        <v>31</v>
      </c>
      <c r="Z404" t="b">
        <v>1</v>
      </c>
      <c r="AA404" t="s">
        <v>24</v>
      </c>
      <c r="AB404" t="b">
        <v>0</v>
      </c>
      <c r="AD404" s="2"/>
    </row>
    <row r="405" spans="1:30" x14ac:dyDescent="0.25">
      <c r="A405">
        <v>404</v>
      </c>
      <c r="B405" t="s">
        <v>17</v>
      </c>
      <c r="C405" s="3">
        <v>40034</v>
      </c>
      <c r="D405" s="2">
        <f ca="1">DATEDIF(gym_membership[[#This Row],[birthday]],TODAY(),"y")</f>
        <v>17</v>
      </c>
      <c r="E405">
        <v>15</v>
      </c>
      <c r="F405" t="s">
        <v>18</v>
      </c>
      <c r="G405">
        <v>3</v>
      </c>
      <c r="H405" t="s">
        <v>165</v>
      </c>
      <c r="I405" t="s">
        <v>44</v>
      </c>
      <c r="J405" t="s">
        <v>26</v>
      </c>
      <c r="K405" t="s">
        <v>77</v>
      </c>
      <c r="N405" t="b">
        <v>1</v>
      </c>
      <c r="O405" t="s">
        <v>292</v>
      </c>
      <c r="P405" t="s">
        <v>120</v>
      </c>
      <c r="Q405" t="s">
        <v>72</v>
      </c>
      <c r="S405" s="1">
        <v>0.4597222222222222</v>
      </c>
      <c r="T405" s="1">
        <v>0.48472222222222222</v>
      </c>
      <c r="U405">
        <v>36</v>
      </c>
      <c r="V405" t="b">
        <v>1</v>
      </c>
      <c r="W405" t="s">
        <v>207</v>
      </c>
      <c r="X405" t="s">
        <v>76</v>
      </c>
      <c r="Y405" t="s">
        <v>51</v>
      </c>
      <c r="Z405" t="b">
        <v>1</v>
      </c>
      <c r="AA405" t="s">
        <v>24</v>
      </c>
      <c r="AB405" t="b">
        <v>1</v>
      </c>
      <c r="AD405" s="2"/>
    </row>
    <row r="406" spans="1:30" x14ac:dyDescent="0.25">
      <c r="A406">
        <v>405</v>
      </c>
      <c r="B406" t="s">
        <v>25</v>
      </c>
      <c r="C406" s="3">
        <v>35525</v>
      </c>
      <c r="D406" s="2">
        <f ca="1">DATEDIF(gym_membership[[#This Row],[birthday]],TODAY(),"y")</f>
        <v>29</v>
      </c>
      <c r="E406">
        <v>27</v>
      </c>
      <c r="F406" t="s">
        <v>18</v>
      </c>
      <c r="G406">
        <v>2</v>
      </c>
      <c r="H406" t="s">
        <v>133</v>
      </c>
      <c r="I406" t="s">
        <v>34</v>
      </c>
      <c r="J406" t="s">
        <v>94</v>
      </c>
      <c r="N406" t="b">
        <v>1</v>
      </c>
      <c r="O406" t="s">
        <v>293</v>
      </c>
      <c r="P406" t="s">
        <v>91</v>
      </c>
      <c r="Q406" t="s">
        <v>103</v>
      </c>
      <c r="R406" t="s">
        <v>100</v>
      </c>
      <c r="S406" s="1">
        <v>0.69097222222222221</v>
      </c>
      <c r="T406" s="1">
        <v>0.78888888888888886</v>
      </c>
      <c r="U406">
        <v>141</v>
      </c>
      <c r="V406" t="b">
        <v>1</v>
      </c>
      <c r="W406" t="s">
        <v>65</v>
      </c>
      <c r="X406" t="s">
        <v>65</v>
      </c>
      <c r="Z406" t="b">
        <v>1</v>
      </c>
      <c r="AA406" t="s">
        <v>43</v>
      </c>
      <c r="AB406" t="b">
        <v>0</v>
      </c>
      <c r="AD406" s="2"/>
    </row>
    <row r="407" spans="1:30" x14ac:dyDescent="0.25">
      <c r="A407">
        <v>406</v>
      </c>
      <c r="B407" t="s">
        <v>17</v>
      </c>
      <c r="C407" s="3">
        <v>35957</v>
      </c>
      <c r="D407" s="2">
        <f ca="1">DATEDIF(gym_membership[[#This Row],[birthday]],TODAY(),"y")</f>
        <v>28</v>
      </c>
      <c r="E407">
        <v>26</v>
      </c>
      <c r="F407" t="s">
        <v>22</v>
      </c>
      <c r="G407">
        <v>4</v>
      </c>
      <c r="H407" t="s">
        <v>294</v>
      </c>
      <c r="I407" t="s">
        <v>34</v>
      </c>
      <c r="J407" t="s">
        <v>26</v>
      </c>
      <c r="K407" t="s">
        <v>95</v>
      </c>
      <c r="L407" t="s">
        <v>77</v>
      </c>
      <c r="N407" t="b">
        <v>1</v>
      </c>
      <c r="O407" t="s">
        <v>295</v>
      </c>
      <c r="P407" t="s">
        <v>58</v>
      </c>
      <c r="Q407" t="s">
        <v>100</v>
      </c>
      <c r="S407" s="1">
        <v>0.54374999999999996</v>
      </c>
      <c r="T407" s="1">
        <v>0.65208333333333335</v>
      </c>
      <c r="U407">
        <v>156</v>
      </c>
      <c r="V407" t="b">
        <v>0</v>
      </c>
      <c r="W407" t="s">
        <v>21</v>
      </c>
      <c r="Z407" t="b">
        <v>1</v>
      </c>
      <c r="AA407" t="s">
        <v>24</v>
      </c>
      <c r="AB407" t="b">
        <v>1</v>
      </c>
      <c r="AD407" s="2"/>
    </row>
    <row r="408" spans="1:30" x14ac:dyDescent="0.25">
      <c r="A408">
        <v>407</v>
      </c>
      <c r="B408" t="s">
        <v>17</v>
      </c>
      <c r="C408" s="3">
        <v>37527</v>
      </c>
      <c r="D408" s="2">
        <f ca="1">DATEDIF(gym_membership[[#This Row],[birthday]],TODAY(),"y")</f>
        <v>23</v>
      </c>
      <c r="E408">
        <v>22</v>
      </c>
      <c r="F408" t="s">
        <v>22</v>
      </c>
      <c r="G408">
        <v>3</v>
      </c>
      <c r="H408" t="s">
        <v>56</v>
      </c>
      <c r="I408" t="s">
        <v>26</v>
      </c>
      <c r="J408" t="s">
        <v>95</v>
      </c>
      <c r="K408" t="s">
        <v>57</v>
      </c>
      <c r="N408" t="b">
        <v>1</v>
      </c>
      <c r="O408" t="s">
        <v>296</v>
      </c>
      <c r="P408" t="s">
        <v>91</v>
      </c>
      <c r="Q408" t="s">
        <v>58</v>
      </c>
      <c r="S408" s="1">
        <v>0.72847222222222219</v>
      </c>
      <c r="T408" s="1">
        <v>0.79583333333333328</v>
      </c>
      <c r="U408">
        <v>97</v>
      </c>
      <c r="V408" t="b">
        <v>1</v>
      </c>
      <c r="W408" t="s">
        <v>163</v>
      </c>
      <c r="X408" t="s">
        <v>65</v>
      </c>
      <c r="Y408" t="s">
        <v>51</v>
      </c>
      <c r="Z408" t="b">
        <v>0</v>
      </c>
      <c r="AA408" t="s">
        <v>456</v>
      </c>
      <c r="AB408" t="b">
        <v>0</v>
      </c>
      <c r="AD408" s="2"/>
    </row>
    <row r="409" spans="1:30" x14ac:dyDescent="0.25">
      <c r="A409">
        <v>408</v>
      </c>
      <c r="B409" t="s">
        <v>25</v>
      </c>
      <c r="C409" s="3">
        <v>37248</v>
      </c>
      <c r="D409" s="2">
        <f ca="1">DATEDIF(gym_membership[[#This Row],[birthday]],TODAY(),"y")</f>
        <v>24</v>
      </c>
      <c r="E409">
        <v>22</v>
      </c>
      <c r="F409" t="s">
        <v>18</v>
      </c>
      <c r="G409">
        <v>1</v>
      </c>
      <c r="H409" t="s">
        <v>44</v>
      </c>
      <c r="I409" t="s">
        <v>44</v>
      </c>
      <c r="N409" t="b">
        <v>0</v>
      </c>
      <c r="O409" t="s">
        <v>21</v>
      </c>
      <c r="S409" s="1">
        <v>0.47986111111111113</v>
      </c>
      <c r="T409" s="1">
        <v>0.50902777777777775</v>
      </c>
      <c r="U409">
        <v>42</v>
      </c>
      <c r="V409" t="b">
        <v>1</v>
      </c>
      <c r="W409" t="s">
        <v>39</v>
      </c>
      <c r="X409" t="s">
        <v>39</v>
      </c>
      <c r="Z409" t="b">
        <v>1</v>
      </c>
      <c r="AA409" t="s">
        <v>24</v>
      </c>
      <c r="AB409" t="b">
        <v>1</v>
      </c>
      <c r="AD409" s="2"/>
    </row>
    <row r="410" spans="1:30" x14ac:dyDescent="0.25">
      <c r="A410">
        <v>409</v>
      </c>
      <c r="B410" t="s">
        <v>17</v>
      </c>
      <c r="C410" s="3">
        <v>38340</v>
      </c>
      <c r="D410" s="2">
        <f ca="1">DATEDIF(gym_membership[[#This Row],[birthday]],TODAY(),"y")</f>
        <v>21</v>
      </c>
      <c r="E410">
        <v>19</v>
      </c>
      <c r="F410" t="s">
        <v>22</v>
      </c>
      <c r="G410">
        <v>3</v>
      </c>
      <c r="H410" t="s">
        <v>81</v>
      </c>
      <c r="I410" t="s">
        <v>94</v>
      </c>
      <c r="J410" t="s">
        <v>95</v>
      </c>
      <c r="K410" t="s">
        <v>77</v>
      </c>
      <c r="N410" t="b">
        <v>0</v>
      </c>
      <c r="O410" t="s">
        <v>21</v>
      </c>
      <c r="S410" s="1">
        <v>0.75486111111111109</v>
      </c>
      <c r="T410" s="1">
        <v>0.86875000000000002</v>
      </c>
      <c r="U410">
        <v>164</v>
      </c>
      <c r="V410" t="b">
        <v>0</v>
      </c>
      <c r="W410" t="s">
        <v>21</v>
      </c>
      <c r="Z410" t="b">
        <v>1</v>
      </c>
      <c r="AA410" t="s">
        <v>43</v>
      </c>
      <c r="AB410" t="b">
        <v>1</v>
      </c>
      <c r="AD410" s="2"/>
    </row>
    <row r="411" spans="1:30" x14ac:dyDescent="0.25">
      <c r="A411">
        <v>410</v>
      </c>
      <c r="B411" t="s">
        <v>25</v>
      </c>
      <c r="C411" s="3">
        <v>28946</v>
      </c>
      <c r="D411" s="2">
        <f ca="1">DATEDIF(gym_membership[[#This Row],[birthday]],TODAY(),"y")</f>
        <v>47</v>
      </c>
      <c r="E411">
        <v>45</v>
      </c>
      <c r="F411" t="s">
        <v>18</v>
      </c>
      <c r="G411">
        <v>3</v>
      </c>
      <c r="H411" t="s">
        <v>101</v>
      </c>
      <c r="I411" t="s">
        <v>94</v>
      </c>
      <c r="J411" t="s">
        <v>57</v>
      </c>
      <c r="K411" t="s">
        <v>77</v>
      </c>
      <c r="N411" t="b">
        <v>0</v>
      </c>
      <c r="O411" t="s">
        <v>21</v>
      </c>
      <c r="S411" s="1">
        <v>0.47222222222222221</v>
      </c>
      <c r="T411" s="1">
        <v>0.58888888888888891</v>
      </c>
      <c r="U411">
        <v>168</v>
      </c>
      <c r="V411" t="b">
        <v>0</v>
      </c>
      <c r="W411" t="s">
        <v>21</v>
      </c>
      <c r="Z411" t="b">
        <v>1</v>
      </c>
      <c r="AA411" t="s">
        <v>29</v>
      </c>
      <c r="AB411" t="b">
        <v>1</v>
      </c>
      <c r="AD411" s="2"/>
    </row>
    <row r="412" spans="1:30" x14ac:dyDescent="0.25">
      <c r="A412">
        <v>411</v>
      </c>
      <c r="B412" t="s">
        <v>17</v>
      </c>
      <c r="C412" s="3">
        <v>29460</v>
      </c>
      <c r="D412" s="2">
        <f ca="1">DATEDIF(gym_membership[[#This Row],[birthday]],TODAY(),"y")</f>
        <v>46</v>
      </c>
      <c r="E412">
        <v>44</v>
      </c>
      <c r="F412" t="s">
        <v>22</v>
      </c>
      <c r="G412">
        <v>2</v>
      </c>
      <c r="H412" t="s">
        <v>98</v>
      </c>
      <c r="I412" t="s">
        <v>57</v>
      </c>
      <c r="J412" t="s">
        <v>77</v>
      </c>
      <c r="N412" t="b">
        <v>0</v>
      </c>
      <c r="O412" t="s">
        <v>21</v>
      </c>
      <c r="S412" s="1">
        <v>0.49513888888888891</v>
      </c>
      <c r="T412" s="1">
        <v>0.53333333333333333</v>
      </c>
      <c r="U412">
        <v>55</v>
      </c>
      <c r="V412" t="b">
        <v>0</v>
      </c>
      <c r="W412" t="s">
        <v>21</v>
      </c>
      <c r="Z412" t="b">
        <v>0</v>
      </c>
      <c r="AA412" t="s">
        <v>456</v>
      </c>
      <c r="AB412" t="b">
        <v>0</v>
      </c>
      <c r="AD412" s="2"/>
    </row>
    <row r="413" spans="1:30" x14ac:dyDescent="0.25">
      <c r="A413">
        <v>412</v>
      </c>
      <c r="B413" t="s">
        <v>25</v>
      </c>
      <c r="C413" s="3">
        <v>31025</v>
      </c>
      <c r="D413" s="2">
        <f ca="1">DATEDIF(gym_membership[[#This Row],[birthday]],TODAY(),"y")</f>
        <v>41</v>
      </c>
      <c r="E413">
        <v>39</v>
      </c>
      <c r="F413" t="s">
        <v>22</v>
      </c>
      <c r="G413">
        <v>2</v>
      </c>
      <c r="H413" t="s">
        <v>126</v>
      </c>
      <c r="I413" t="s">
        <v>94</v>
      </c>
      <c r="J413" t="s">
        <v>57</v>
      </c>
      <c r="N413" t="b">
        <v>1</v>
      </c>
      <c r="O413" t="s">
        <v>36</v>
      </c>
      <c r="P413" t="s">
        <v>91</v>
      </c>
      <c r="Q413" t="s">
        <v>41</v>
      </c>
      <c r="S413" s="1">
        <v>0.79305555555555551</v>
      </c>
      <c r="T413" s="1">
        <v>0.82430555555555551</v>
      </c>
      <c r="U413">
        <v>45</v>
      </c>
      <c r="V413" t="b">
        <v>1</v>
      </c>
      <c r="W413" t="s">
        <v>76</v>
      </c>
      <c r="X413" t="s">
        <v>76</v>
      </c>
      <c r="Z413" t="b">
        <v>1</v>
      </c>
      <c r="AA413" t="s">
        <v>24</v>
      </c>
      <c r="AB413" t="b">
        <v>0</v>
      </c>
      <c r="AD413" s="2"/>
    </row>
    <row r="414" spans="1:30" x14ac:dyDescent="0.25">
      <c r="A414">
        <v>413</v>
      </c>
      <c r="B414" t="s">
        <v>25</v>
      </c>
      <c r="C414" s="3">
        <v>34268</v>
      </c>
      <c r="D414" s="2">
        <f ca="1">DATEDIF(gym_membership[[#This Row],[birthday]],TODAY(),"y")</f>
        <v>32</v>
      </c>
      <c r="E414">
        <v>30</v>
      </c>
      <c r="F414" t="s">
        <v>18</v>
      </c>
      <c r="G414">
        <v>1</v>
      </c>
      <c r="H414" t="s">
        <v>94</v>
      </c>
      <c r="I414" t="s">
        <v>94</v>
      </c>
      <c r="N414" t="b">
        <v>1</v>
      </c>
      <c r="O414" t="s">
        <v>91</v>
      </c>
      <c r="P414" t="s">
        <v>91</v>
      </c>
      <c r="S414" s="1">
        <v>0.35972222222222222</v>
      </c>
      <c r="T414" s="1">
        <v>0.42222222222222222</v>
      </c>
      <c r="U414">
        <v>90</v>
      </c>
      <c r="V414" t="b">
        <v>0</v>
      </c>
      <c r="W414" t="s">
        <v>21</v>
      </c>
      <c r="Z414" t="b">
        <v>1</v>
      </c>
      <c r="AA414" t="s">
        <v>29</v>
      </c>
      <c r="AB414" t="b">
        <v>1</v>
      </c>
      <c r="AD414" s="2"/>
    </row>
    <row r="415" spans="1:30" x14ac:dyDescent="0.25">
      <c r="A415">
        <v>414</v>
      </c>
      <c r="B415" t="s">
        <v>17</v>
      </c>
      <c r="C415" s="3">
        <v>34700</v>
      </c>
      <c r="D415" s="2">
        <f ca="1">DATEDIF(gym_membership[[#This Row],[birthday]],TODAY(),"y")</f>
        <v>31</v>
      </c>
      <c r="E415">
        <v>29</v>
      </c>
      <c r="F415" t="s">
        <v>22</v>
      </c>
      <c r="G415">
        <v>1</v>
      </c>
      <c r="H415" t="s">
        <v>94</v>
      </c>
      <c r="I415" t="s">
        <v>94</v>
      </c>
      <c r="N415" t="b">
        <v>1</v>
      </c>
      <c r="O415" t="s">
        <v>41</v>
      </c>
      <c r="P415" t="s">
        <v>41</v>
      </c>
      <c r="S415" s="1">
        <v>0.5180555555555556</v>
      </c>
      <c r="T415" s="1">
        <v>0.57291666666666663</v>
      </c>
      <c r="U415">
        <v>79</v>
      </c>
      <c r="V415" t="b">
        <v>0</v>
      </c>
      <c r="W415" t="s">
        <v>21</v>
      </c>
      <c r="Z415" t="b">
        <v>0</v>
      </c>
      <c r="AA415" t="s">
        <v>456</v>
      </c>
      <c r="AB415" t="b">
        <v>0</v>
      </c>
      <c r="AD415" s="2"/>
    </row>
    <row r="416" spans="1:30" x14ac:dyDescent="0.25">
      <c r="A416">
        <v>415</v>
      </c>
      <c r="B416" t="s">
        <v>17</v>
      </c>
      <c r="C416" s="3">
        <v>34694</v>
      </c>
      <c r="D416" s="2">
        <f ca="1">DATEDIF(gym_membership[[#This Row],[birthday]],TODAY(),"y")</f>
        <v>31</v>
      </c>
      <c r="E416">
        <v>29</v>
      </c>
      <c r="F416" t="s">
        <v>18</v>
      </c>
      <c r="G416">
        <v>1</v>
      </c>
      <c r="H416" t="s">
        <v>26</v>
      </c>
      <c r="I416" t="s">
        <v>26</v>
      </c>
      <c r="N416" t="b">
        <v>0</v>
      </c>
      <c r="O416" t="s">
        <v>21</v>
      </c>
      <c r="S416" s="1">
        <v>0.70416666666666672</v>
      </c>
      <c r="T416" s="1">
        <v>0.76041666666666663</v>
      </c>
      <c r="U416">
        <v>81</v>
      </c>
      <c r="V416" t="b">
        <v>0</v>
      </c>
      <c r="W416" t="s">
        <v>21</v>
      </c>
      <c r="Z416" t="b">
        <v>1</v>
      </c>
      <c r="AA416" t="s">
        <v>24</v>
      </c>
      <c r="AB416" t="b">
        <v>1</v>
      </c>
      <c r="AD416" s="2"/>
    </row>
    <row r="417" spans="1:30" x14ac:dyDescent="0.25">
      <c r="A417">
        <v>416</v>
      </c>
      <c r="B417" t="s">
        <v>25</v>
      </c>
      <c r="C417" s="3">
        <v>32154</v>
      </c>
      <c r="D417" s="2">
        <f ca="1">DATEDIF(gym_membership[[#This Row],[birthday]],TODAY(),"y")</f>
        <v>38</v>
      </c>
      <c r="E417">
        <v>36</v>
      </c>
      <c r="F417" t="s">
        <v>18</v>
      </c>
      <c r="G417">
        <v>3</v>
      </c>
      <c r="H417" t="s">
        <v>149</v>
      </c>
      <c r="I417" t="s">
        <v>26</v>
      </c>
      <c r="J417" t="s">
        <v>94</v>
      </c>
      <c r="K417" t="s">
        <v>77</v>
      </c>
      <c r="N417" t="b">
        <v>1</v>
      </c>
      <c r="O417" t="s">
        <v>91</v>
      </c>
      <c r="P417" t="s">
        <v>91</v>
      </c>
      <c r="S417" s="1">
        <v>0.81736111111111109</v>
      </c>
      <c r="T417" s="1">
        <v>0.85972222222222228</v>
      </c>
      <c r="U417">
        <v>61</v>
      </c>
      <c r="V417" t="b">
        <v>0</v>
      </c>
      <c r="W417" t="s">
        <v>21</v>
      </c>
      <c r="Z417" t="b">
        <v>0</v>
      </c>
      <c r="AA417" t="s">
        <v>456</v>
      </c>
      <c r="AB417" t="b">
        <v>1</v>
      </c>
      <c r="AD417" s="2"/>
    </row>
    <row r="418" spans="1:30" x14ac:dyDescent="0.25">
      <c r="A418">
        <v>417</v>
      </c>
      <c r="B418" t="s">
        <v>17</v>
      </c>
      <c r="C418" s="3">
        <v>39388</v>
      </c>
      <c r="D418" s="2">
        <f ca="1">DATEDIF(gym_membership[[#This Row],[birthday]],TODAY(),"y")</f>
        <v>18</v>
      </c>
      <c r="E418">
        <v>16</v>
      </c>
      <c r="F418" t="s">
        <v>22</v>
      </c>
      <c r="G418">
        <v>3</v>
      </c>
      <c r="H418" t="s">
        <v>71</v>
      </c>
      <c r="I418" t="s">
        <v>44</v>
      </c>
      <c r="J418" t="s">
        <v>94</v>
      </c>
      <c r="K418" t="s">
        <v>77</v>
      </c>
      <c r="N418" t="b">
        <v>1</v>
      </c>
      <c r="O418" t="s">
        <v>297</v>
      </c>
      <c r="P418" t="s">
        <v>120</v>
      </c>
      <c r="Q418" t="s">
        <v>58</v>
      </c>
      <c r="S418" s="1">
        <v>0.62013888888888891</v>
      </c>
      <c r="T418" s="1">
        <v>0.70972222222222225</v>
      </c>
      <c r="U418">
        <v>129</v>
      </c>
      <c r="V418" t="b">
        <v>1</v>
      </c>
      <c r="W418" t="s">
        <v>39</v>
      </c>
      <c r="X418" t="s">
        <v>39</v>
      </c>
      <c r="Z418" t="b">
        <v>0</v>
      </c>
      <c r="AA418" t="s">
        <v>456</v>
      </c>
      <c r="AB418" t="b">
        <v>1</v>
      </c>
      <c r="AD418" s="2"/>
    </row>
    <row r="419" spans="1:30" x14ac:dyDescent="0.25">
      <c r="A419">
        <v>418</v>
      </c>
      <c r="B419" t="s">
        <v>17</v>
      </c>
      <c r="C419" s="3">
        <v>27662</v>
      </c>
      <c r="D419" s="2">
        <f ca="1">DATEDIF(gym_membership[[#This Row],[birthday]],TODAY(),"y")</f>
        <v>50</v>
      </c>
      <c r="E419">
        <v>49</v>
      </c>
      <c r="F419" t="s">
        <v>18</v>
      </c>
      <c r="G419">
        <v>3</v>
      </c>
      <c r="H419" t="s">
        <v>122</v>
      </c>
      <c r="I419" t="s">
        <v>34</v>
      </c>
      <c r="J419" t="s">
        <v>94</v>
      </c>
      <c r="K419" t="s">
        <v>77</v>
      </c>
      <c r="N419" t="b">
        <v>0</v>
      </c>
      <c r="O419" t="s">
        <v>21</v>
      </c>
      <c r="S419" s="1">
        <v>0.81736111111111109</v>
      </c>
      <c r="T419" s="1">
        <v>0.89652777777777781</v>
      </c>
      <c r="U419">
        <v>114</v>
      </c>
      <c r="V419" t="b">
        <v>1</v>
      </c>
      <c r="W419" t="s">
        <v>130</v>
      </c>
      <c r="X419" t="s">
        <v>76</v>
      </c>
      <c r="Y419" t="s">
        <v>39</v>
      </c>
      <c r="Z419" t="b">
        <v>0</v>
      </c>
      <c r="AA419" t="s">
        <v>456</v>
      </c>
      <c r="AB419" t="b">
        <v>0</v>
      </c>
      <c r="AD419" s="2"/>
    </row>
    <row r="420" spans="1:30" x14ac:dyDescent="0.25">
      <c r="A420">
        <v>419</v>
      </c>
      <c r="B420" t="s">
        <v>17</v>
      </c>
      <c r="C420" s="3">
        <v>38317</v>
      </c>
      <c r="D420" s="2">
        <f ca="1">DATEDIF(gym_membership[[#This Row],[birthday]],TODAY(),"y")</f>
        <v>21</v>
      </c>
      <c r="E420">
        <v>19</v>
      </c>
      <c r="F420" t="s">
        <v>18</v>
      </c>
      <c r="G420">
        <v>3</v>
      </c>
      <c r="H420" t="s">
        <v>30</v>
      </c>
      <c r="I420" t="s">
        <v>26</v>
      </c>
      <c r="J420" t="s">
        <v>57</v>
      </c>
      <c r="K420" t="s">
        <v>77</v>
      </c>
      <c r="N420" t="b">
        <v>1</v>
      </c>
      <c r="O420" t="s">
        <v>298</v>
      </c>
      <c r="P420" t="s">
        <v>120</v>
      </c>
      <c r="Q420" t="s">
        <v>100</v>
      </c>
      <c r="R420" t="s">
        <v>67</v>
      </c>
      <c r="S420" s="1">
        <v>0.43958333333333333</v>
      </c>
      <c r="T420" s="1">
        <v>0.48055555555555557</v>
      </c>
      <c r="U420">
        <v>59</v>
      </c>
      <c r="V420" t="b">
        <v>0</v>
      </c>
      <c r="W420" t="s">
        <v>21</v>
      </c>
      <c r="Z420" t="b">
        <v>0</v>
      </c>
      <c r="AA420" t="s">
        <v>456</v>
      </c>
      <c r="AB420" t="b">
        <v>0</v>
      </c>
      <c r="AD420" s="2"/>
    </row>
    <row r="421" spans="1:30" x14ac:dyDescent="0.25">
      <c r="A421">
        <v>420</v>
      </c>
      <c r="B421" t="s">
        <v>25</v>
      </c>
      <c r="C421" s="3">
        <v>28548</v>
      </c>
      <c r="D421" s="2">
        <f ca="1">DATEDIF(gym_membership[[#This Row],[birthday]],TODAY(),"y")</f>
        <v>48</v>
      </c>
      <c r="E421">
        <v>46</v>
      </c>
      <c r="F421" t="s">
        <v>18</v>
      </c>
      <c r="G421">
        <v>2</v>
      </c>
      <c r="H421" t="s">
        <v>119</v>
      </c>
      <c r="I421" t="s">
        <v>44</v>
      </c>
      <c r="J421" t="s">
        <v>57</v>
      </c>
      <c r="N421" t="b">
        <v>0</v>
      </c>
      <c r="O421" t="s">
        <v>21</v>
      </c>
      <c r="S421" s="1">
        <v>0.47708333333333336</v>
      </c>
      <c r="T421" s="1">
        <v>0.56874999999999998</v>
      </c>
      <c r="U421">
        <v>132</v>
      </c>
      <c r="V421" t="b">
        <v>1</v>
      </c>
      <c r="W421" t="s">
        <v>204</v>
      </c>
      <c r="X421" t="s">
        <v>39</v>
      </c>
      <c r="Y421" t="s">
        <v>51</v>
      </c>
      <c r="Z421" t="b">
        <v>1</v>
      </c>
      <c r="AA421" t="s">
        <v>45</v>
      </c>
      <c r="AB421" t="b">
        <v>0</v>
      </c>
      <c r="AD421" s="2"/>
    </row>
    <row r="422" spans="1:30" x14ac:dyDescent="0.25">
      <c r="A422">
        <v>421</v>
      </c>
      <c r="B422" t="s">
        <v>17</v>
      </c>
      <c r="C422" s="3">
        <v>35804</v>
      </c>
      <c r="D422" s="2">
        <f ca="1">DATEDIF(gym_membership[[#This Row],[birthday]],TODAY(),"y")</f>
        <v>28</v>
      </c>
      <c r="E422">
        <v>26</v>
      </c>
      <c r="F422" t="s">
        <v>22</v>
      </c>
      <c r="G422">
        <v>3</v>
      </c>
      <c r="H422" t="s">
        <v>299</v>
      </c>
      <c r="I422" t="s">
        <v>95</v>
      </c>
      <c r="J422" t="s">
        <v>57</v>
      </c>
      <c r="K422" t="s">
        <v>77</v>
      </c>
      <c r="N422" t="b">
        <v>0</v>
      </c>
      <c r="O422" t="s">
        <v>21</v>
      </c>
      <c r="S422" s="1">
        <v>0.62083333333333335</v>
      </c>
      <c r="T422" s="1">
        <v>0.69861111111111107</v>
      </c>
      <c r="U422">
        <v>112</v>
      </c>
      <c r="V422" t="b">
        <v>1</v>
      </c>
      <c r="W422" t="s">
        <v>52</v>
      </c>
      <c r="X422" t="s">
        <v>59</v>
      </c>
      <c r="Y422" t="s">
        <v>51</v>
      </c>
      <c r="Z422" t="b">
        <v>1</v>
      </c>
      <c r="AA422" t="s">
        <v>24</v>
      </c>
      <c r="AB422" t="b">
        <v>1</v>
      </c>
      <c r="AD422" s="2"/>
    </row>
    <row r="423" spans="1:30" x14ac:dyDescent="0.25">
      <c r="A423">
        <v>422</v>
      </c>
      <c r="B423" t="s">
        <v>17</v>
      </c>
      <c r="C423" s="3">
        <v>33014</v>
      </c>
      <c r="D423" s="2">
        <f ca="1">DATEDIF(gym_membership[[#This Row],[birthday]],TODAY(),"y")</f>
        <v>36</v>
      </c>
      <c r="E423">
        <v>34</v>
      </c>
      <c r="F423" t="s">
        <v>22</v>
      </c>
      <c r="G423">
        <v>4</v>
      </c>
      <c r="H423" t="s">
        <v>127</v>
      </c>
      <c r="I423" t="s">
        <v>44</v>
      </c>
      <c r="J423" t="s">
        <v>95</v>
      </c>
      <c r="K423" t="s">
        <v>57</v>
      </c>
      <c r="L423" t="s">
        <v>77</v>
      </c>
      <c r="N423" t="b">
        <v>0</v>
      </c>
      <c r="O423" t="s">
        <v>21</v>
      </c>
      <c r="S423" s="1">
        <v>0.53194444444444444</v>
      </c>
      <c r="T423" s="1">
        <v>0.57986111111111116</v>
      </c>
      <c r="U423">
        <v>69</v>
      </c>
      <c r="V423" t="b">
        <v>0</v>
      </c>
      <c r="W423" t="s">
        <v>21</v>
      </c>
      <c r="Z423" t="b">
        <v>0</v>
      </c>
      <c r="AA423" t="s">
        <v>456</v>
      </c>
      <c r="AB423" t="b">
        <v>0</v>
      </c>
      <c r="AD423" s="2"/>
    </row>
    <row r="424" spans="1:30" x14ac:dyDescent="0.25">
      <c r="A424">
        <v>423</v>
      </c>
      <c r="B424" t="s">
        <v>17</v>
      </c>
      <c r="C424" s="3">
        <v>31885</v>
      </c>
      <c r="D424" s="2">
        <f ca="1">DATEDIF(gym_membership[[#This Row],[birthday]],TODAY(),"y")</f>
        <v>39</v>
      </c>
      <c r="E424">
        <v>37</v>
      </c>
      <c r="F424" t="s">
        <v>18</v>
      </c>
      <c r="G424">
        <v>5</v>
      </c>
      <c r="H424" t="s">
        <v>220</v>
      </c>
      <c r="I424" t="s">
        <v>44</v>
      </c>
      <c r="J424" t="s">
        <v>34</v>
      </c>
      <c r="K424" t="s">
        <v>26</v>
      </c>
      <c r="L424" t="s">
        <v>94</v>
      </c>
      <c r="M424" t="s">
        <v>95</v>
      </c>
      <c r="N424" t="b">
        <v>1</v>
      </c>
      <c r="O424" t="s">
        <v>27</v>
      </c>
      <c r="P424" t="s">
        <v>27</v>
      </c>
      <c r="S424" s="1">
        <v>0.78333333333333333</v>
      </c>
      <c r="T424" s="1">
        <v>0.87708333333333333</v>
      </c>
      <c r="U424">
        <v>135</v>
      </c>
      <c r="V424" t="b">
        <v>0</v>
      </c>
      <c r="W424" t="s">
        <v>21</v>
      </c>
      <c r="Z424" t="b">
        <v>1</v>
      </c>
      <c r="AA424" t="s">
        <v>24</v>
      </c>
      <c r="AB424" t="b">
        <v>1</v>
      </c>
      <c r="AD424" s="2"/>
    </row>
    <row r="425" spans="1:30" x14ac:dyDescent="0.25">
      <c r="A425">
        <v>424</v>
      </c>
      <c r="B425" t="s">
        <v>17</v>
      </c>
      <c r="C425" s="3">
        <v>37348</v>
      </c>
      <c r="D425" s="2">
        <f ca="1">DATEDIF(gym_membership[[#This Row],[birthday]],TODAY(),"y")</f>
        <v>24</v>
      </c>
      <c r="E425">
        <v>22</v>
      </c>
      <c r="F425" t="s">
        <v>18</v>
      </c>
      <c r="G425">
        <v>1</v>
      </c>
      <c r="H425" t="s">
        <v>94</v>
      </c>
      <c r="I425" t="s">
        <v>94</v>
      </c>
      <c r="N425" t="b">
        <v>1</v>
      </c>
      <c r="O425" t="s">
        <v>300</v>
      </c>
      <c r="P425" t="s">
        <v>58</v>
      </c>
      <c r="Q425" t="s">
        <v>91</v>
      </c>
      <c r="R425" t="s">
        <v>100</v>
      </c>
      <c r="S425" s="1">
        <v>0.51875000000000004</v>
      </c>
      <c r="T425" s="1">
        <v>0.5854166666666667</v>
      </c>
      <c r="U425">
        <v>96</v>
      </c>
      <c r="V425" t="b">
        <v>1</v>
      </c>
      <c r="W425" t="s">
        <v>39</v>
      </c>
      <c r="X425" t="s">
        <v>39</v>
      </c>
      <c r="Z425" t="b">
        <v>0</v>
      </c>
      <c r="AA425" t="s">
        <v>456</v>
      </c>
      <c r="AB425" t="b">
        <v>1</v>
      </c>
      <c r="AD425" s="2"/>
    </row>
    <row r="426" spans="1:30" x14ac:dyDescent="0.25">
      <c r="A426">
        <v>425</v>
      </c>
      <c r="B426" t="s">
        <v>25</v>
      </c>
      <c r="C426" s="3">
        <v>30439</v>
      </c>
      <c r="D426" s="2">
        <f ca="1">DATEDIF(gym_membership[[#This Row],[birthday]],TODAY(),"y")</f>
        <v>43</v>
      </c>
      <c r="E426">
        <v>41</v>
      </c>
      <c r="F426" t="s">
        <v>18</v>
      </c>
      <c r="G426">
        <v>5</v>
      </c>
      <c r="H426" t="s">
        <v>301</v>
      </c>
      <c r="I426" t="s">
        <v>34</v>
      </c>
      <c r="J426" t="s">
        <v>26</v>
      </c>
      <c r="K426" t="s">
        <v>94</v>
      </c>
      <c r="L426" t="s">
        <v>57</v>
      </c>
      <c r="M426" t="s">
        <v>77</v>
      </c>
      <c r="N426" t="b">
        <v>0</v>
      </c>
      <c r="O426" t="s">
        <v>21</v>
      </c>
      <c r="S426" s="1">
        <v>0.68125000000000002</v>
      </c>
      <c r="T426" s="1">
        <v>0.77638888888888891</v>
      </c>
      <c r="U426">
        <v>137</v>
      </c>
      <c r="V426" t="b">
        <v>0</v>
      </c>
      <c r="W426" t="s">
        <v>21</v>
      </c>
      <c r="Z426" t="b">
        <v>1</v>
      </c>
      <c r="AA426" t="s">
        <v>24</v>
      </c>
      <c r="AB426" t="b">
        <v>0</v>
      </c>
      <c r="AD426" s="2"/>
    </row>
    <row r="427" spans="1:30" x14ac:dyDescent="0.25">
      <c r="A427">
        <v>426</v>
      </c>
      <c r="B427" t="s">
        <v>17</v>
      </c>
      <c r="C427" s="3">
        <v>31237</v>
      </c>
      <c r="D427" s="2">
        <f ca="1">DATEDIF(gym_membership[[#This Row],[birthday]],TODAY(),"y")</f>
        <v>41</v>
      </c>
      <c r="E427">
        <v>39</v>
      </c>
      <c r="F427" t="s">
        <v>18</v>
      </c>
      <c r="G427">
        <v>2</v>
      </c>
      <c r="H427" t="s">
        <v>183</v>
      </c>
      <c r="I427" t="s">
        <v>44</v>
      </c>
      <c r="J427" t="s">
        <v>26</v>
      </c>
      <c r="N427" t="b">
        <v>0</v>
      </c>
      <c r="O427" t="s">
        <v>21</v>
      </c>
      <c r="S427" s="1">
        <v>0.83611111111111114</v>
      </c>
      <c r="T427" s="1">
        <v>0.86319444444444449</v>
      </c>
      <c r="U427">
        <v>39</v>
      </c>
      <c r="V427" t="b">
        <v>0</v>
      </c>
      <c r="W427" t="s">
        <v>21</v>
      </c>
      <c r="Z427" t="b">
        <v>0</v>
      </c>
      <c r="AA427" t="s">
        <v>456</v>
      </c>
      <c r="AB427" t="b">
        <v>0</v>
      </c>
      <c r="AD427" s="2"/>
    </row>
    <row r="428" spans="1:30" x14ac:dyDescent="0.25">
      <c r="A428">
        <v>427</v>
      </c>
      <c r="B428" t="s">
        <v>25</v>
      </c>
      <c r="C428" s="3">
        <v>40300</v>
      </c>
      <c r="D428" s="2">
        <f ca="1">DATEDIF(gym_membership[[#This Row],[birthday]],TODAY(),"y")</f>
        <v>16</v>
      </c>
      <c r="E428">
        <v>14</v>
      </c>
      <c r="F428" t="s">
        <v>18</v>
      </c>
      <c r="G428">
        <v>3</v>
      </c>
      <c r="H428" t="s">
        <v>150</v>
      </c>
      <c r="I428" t="s">
        <v>44</v>
      </c>
      <c r="J428" t="s">
        <v>34</v>
      </c>
      <c r="K428" t="s">
        <v>94</v>
      </c>
      <c r="N428" t="b">
        <v>0</v>
      </c>
      <c r="O428" t="s">
        <v>21</v>
      </c>
      <c r="S428" s="1">
        <v>0.67013888888888884</v>
      </c>
      <c r="T428" s="1">
        <v>0.79513888888888884</v>
      </c>
      <c r="U428">
        <v>180</v>
      </c>
      <c r="V428" t="b">
        <v>1</v>
      </c>
      <c r="W428" t="s">
        <v>51</v>
      </c>
      <c r="X428" t="s">
        <v>51</v>
      </c>
      <c r="Z428" t="b">
        <v>1</v>
      </c>
      <c r="AA428" t="s">
        <v>29</v>
      </c>
      <c r="AB428" t="b">
        <v>0</v>
      </c>
      <c r="AD428" s="2"/>
    </row>
    <row r="429" spans="1:30" x14ac:dyDescent="0.25">
      <c r="A429">
        <v>428</v>
      </c>
      <c r="B429" t="s">
        <v>17</v>
      </c>
      <c r="C429" s="3">
        <v>39651</v>
      </c>
      <c r="D429" s="2">
        <f ca="1">DATEDIF(gym_membership[[#This Row],[birthday]],TODAY(),"y")</f>
        <v>18</v>
      </c>
      <c r="E429">
        <v>16</v>
      </c>
      <c r="F429" t="s">
        <v>22</v>
      </c>
      <c r="G429">
        <v>3</v>
      </c>
      <c r="H429" t="s">
        <v>149</v>
      </c>
      <c r="I429" t="s">
        <v>26</v>
      </c>
      <c r="J429" t="s">
        <v>94</v>
      </c>
      <c r="K429" t="s">
        <v>77</v>
      </c>
      <c r="N429" t="b">
        <v>1</v>
      </c>
      <c r="O429" t="s">
        <v>302</v>
      </c>
      <c r="P429" t="s">
        <v>58</v>
      </c>
      <c r="Q429" t="s">
        <v>96</v>
      </c>
      <c r="R429" t="s">
        <v>100</v>
      </c>
      <c r="S429" s="1">
        <v>0.58750000000000002</v>
      </c>
      <c r="T429" s="1">
        <v>0.67708333333333337</v>
      </c>
      <c r="U429">
        <v>129</v>
      </c>
      <c r="V429" t="b">
        <v>1</v>
      </c>
      <c r="W429" t="s">
        <v>76</v>
      </c>
      <c r="X429" t="s">
        <v>76</v>
      </c>
      <c r="Z429" t="b">
        <v>0</v>
      </c>
      <c r="AA429" t="s">
        <v>456</v>
      </c>
      <c r="AB429" t="b">
        <v>0</v>
      </c>
      <c r="AD429" s="2"/>
    </row>
    <row r="430" spans="1:30" x14ac:dyDescent="0.25">
      <c r="A430">
        <v>429</v>
      </c>
      <c r="B430" t="s">
        <v>25</v>
      </c>
      <c r="C430" s="3">
        <v>34078</v>
      </c>
      <c r="D430" s="2">
        <f ca="1">DATEDIF(gym_membership[[#This Row],[birthday]],TODAY(),"y")</f>
        <v>33</v>
      </c>
      <c r="E430">
        <v>31</v>
      </c>
      <c r="F430" t="s">
        <v>22</v>
      </c>
      <c r="G430">
        <v>2</v>
      </c>
      <c r="H430" t="s">
        <v>111</v>
      </c>
      <c r="I430" t="s">
        <v>94</v>
      </c>
      <c r="J430" t="s">
        <v>95</v>
      </c>
      <c r="N430" t="b">
        <v>1</v>
      </c>
      <c r="O430" t="s">
        <v>229</v>
      </c>
      <c r="P430" t="s">
        <v>103</v>
      </c>
      <c r="Q430" t="s">
        <v>58</v>
      </c>
      <c r="R430" t="s">
        <v>41</v>
      </c>
      <c r="S430" s="1">
        <v>0.74791666666666667</v>
      </c>
      <c r="T430" s="1">
        <v>0.80694444444444446</v>
      </c>
      <c r="U430">
        <v>85</v>
      </c>
      <c r="V430" t="b">
        <v>1</v>
      </c>
      <c r="W430" t="s">
        <v>167</v>
      </c>
      <c r="X430" t="s">
        <v>65</v>
      </c>
      <c r="Y430" t="s">
        <v>31</v>
      </c>
      <c r="Z430" t="b">
        <v>1</v>
      </c>
      <c r="AA430" t="s">
        <v>43</v>
      </c>
      <c r="AB430" t="b">
        <v>1</v>
      </c>
      <c r="AD430" s="2"/>
    </row>
    <row r="431" spans="1:30" x14ac:dyDescent="0.25">
      <c r="A431">
        <v>430</v>
      </c>
      <c r="B431" t="s">
        <v>17</v>
      </c>
      <c r="C431" s="3">
        <v>36135</v>
      </c>
      <c r="D431" s="2">
        <f ca="1">DATEDIF(gym_membership[[#This Row],[birthday]],TODAY(),"y")</f>
        <v>27</v>
      </c>
      <c r="E431">
        <v>25</v>
      </c>
      <c r="F431" t="s">
        <v>22</v>
      </c>
      <c r="G431">
        <v>2</v>
      </c>
      <c r="H431" t="s">
        <v>289</v>
      </c>
      <c r="I431" t="s">
        <v>34</v>
      </c>
      <c r="J431" t="s">
        <v>95</v>
      </c>
      <c r="N431" t="b">
        <v>0</v>
      </c>
      <c r="O431" t="s">
        <v>21</v>
      </c>
      <c r="S431" s="1">
        <v>0.6333333333333333</v>
      </c>
      <c r="T431" s="1">
        <v>0.6645833333333333</v>
      </c>
      <c r="U431">
        <v>45</v>
      </c>
      <c r="V431" t="b">
        <v>1</v>
      </c>
      <c r="W431" t="s">
        <v>39</v>
      </c>
      <c r="X431" t="s">
        <v>39</v>
      </c>
      <c r="Z431" t="b">
        <v>1</v>
      </c>
      <c r="AA431" t="s">
        <v>24</v>
      </c>
      <c r="AB431" t="b">
        <v>0</v>
      </c>
      <c r="AD431" s="2"/>
    </row>
    <row r="432" spans="1:30" x14ac:dyDescent="0.25">
      <c r="A432">
        <v>431</v>
      </c>
      <c r="B432" t="s">
        <v>25</v>
      </c>
      <c r="C432" s="3">
        <v>34166</v>
      </c>
      <c r="D432" s="2">
        <f ca="1">DATEDIF(gym_membership[[#This Row],[birthday]],TODAY(),"y")</f>
        <v>33</v>
      </c>
      <c r="E432">
        <v>31</v>
      </c>
      <c r="F432" t="s">
        <v>18</v>
      </c>
      <c r="G432">
        <v>2</v>
      </c>
      <c r="H432" t="s">
        <v>126</v>
      </c>
      <c r="I432" t="s">
        <v>94</v>
      </c>
      <c r="J432" t="s">
        <v>57</v>
      </c>
      <c r="N432" t="b">
        <v>1</v>
      </c>
      <c r="O432" t="s">
        <v>303</v>
      </c>
      <c r="P432" t="s">
        <v>72</v>
      </c>
      <c r="Q432" t="s">
        <v>103</v>
      </c>
      <c r="R432" t="s">
        <v>100</v>
      </c>
      <c r="S432" s="1">
        <v>0.66736111111111107</v>
      </c>
      <c r="T432" s="1">
        <v>0.75763888888888886</v>
      </c>
      <c r="U432">
        <v>130</v>
      </c>
      <c r="V432" t="b">
        <v>1</v>
      </c>
      <c r="W432" t="s">
        <v>304</v>
      </c>
      <c r="X432" t="s">
        <v>51</v>
      </c>
      <c r="Y432" t="s">
        <v>59</v>
      </c>
      <c r="Z432" t="b">
        <v>0</v>
      </c>
      <c r="AA432" t="s">
        <v>456</v>
      </c>
      <c r="AB432" t="b">
        <v>1</v>
      </c>
      <c r="AD432" s="2"/>
    </row>
    <row r="433" spans="1:30" x14ac:dyDescent="0.25">
      <c r="A433">
        <v>432</v>
      </c>
      <c r="B433" t="s">
        <v>25</v>
      </c>
      <c r="C433" s="3">
        <v>34344</v>
      </c>
      <c r="D433" s="2">
        <f ca="1">DATEDIF(gym_membership[[#This Row],[birthday]],TODAY(),"y")</f>
        <v>32</v>
      </c>
      <c r="E433">
        <v>30</v>
      </c>
      <c r="F433" t="s">
        <v>22</v>
      </c>
      <c r="G433">
        <v>5</v>
      </c>
      <c r="H433" t="s">
        <v>211</v>
      </c>
      <c r="I433" t="s">
        <v>44</v>
      </c>
      <c r="J433" t="s">
        <v>34</v>
      </c>
      <c r="K433" t="s">
        <v>94</v>
      </c>
      <c r="L433" t="s">
        <v>57</v>
      </c>
      <c r="M433" t="s">
        <v>77</v>
      </c>
      <c r="N433" t="b">
        <v>1</v>
      </c>
      <c r="O433" t="s">
        <v>305</v>
      </c>
      <c r="P433" t="s">
        <v>103</v>
      </c>
      <c r="Q433" t="s">
        <v>100</v>
      </c>
      <c r="S433" s="1">
        <v>0.45555555555555555</v>
      </c>
      <c r="T433" s="1">
        <v>0.56944444444444442</v>
      </c>
      <c r="U433">
        <v>164</v>
      </c>
      <c r="V433" t="b">
        <v>0</v>
      </c>
      <c r="W433" t="s">
        <v>21</v>
      </c>
      <c r="Z433" t="b">
        <v>1</v>
      </c>
      <c r="AA433" t="s">
        <v>43</v>
      </c>
      <c r="AB433" t="b">
        <v>1</v>
      </c>
      <c r="AD433" s="2"/>
    </row>
    <row r="434" spans="1:30" x14ac:dyDescent="0.25">
      <c r="A434">
        <v>433</v>
      </c>
      <c r="B434" t="s">
        <v>17</v>
      </c>
      <c r="C434" s="3">
        <v>28153</v>
      </c>
      <c r="D434" s="2">
        <f ca="1">DATEDIF(gym_membership[[#This Row],[birthday]],TODAY(),"y")</f>
        <v>49</v>
      </c>
      <c r="E434">
        <v>47</v>
      </c>
      <c r="F434" t="s">
        <v>18</v>
      </c>
      <c r="G434">
        <v>3</v>
      </c>
      <c r="H434" t="s">
        <v>40</v>
      </c>
      <c r="I434" t="s">
        <v>26</v>
      </c>
      <c r="J434" t="s">
        <v>94</v>
      </c>
      <c r="K434" t="s">
        <v>95</v>
      </c>
      <c r="N434" t="b">
        <v>0</v>
      </c>
      <c r="O434" t="s">
        <v>21</v>
      </c>
      <c r="S434" s="1">
        <v>0.61875000000000002</v>
      </c>
      <c r="T434" s="1">
        <v>0.73472222222222228</v>
      </c>
      <c r="U434">
        <v>167</v>
      </c>
      <c r="V434" t="b">
        <v>1</v>
      </c>
      <c r="W434" t="s">
        <v>59</v>
      </c>
      <c r="X434" t="s">
        <v>59</v>
      </c>
      <c r="Z434" t="b">
        <v>0</v>
      </c>
      <c r="AA434" t="s">
        <v>456</v>
      </c>
      <c r="AB434" t="b">
        <v>1</v>
      </c>
      <c r="AD434" s="2"/>
    </row>
    <row r="435" spans="1:30" x14ac:dyDescent="0.25">
      <c r="A435">
        <v>434</v>
      </c>
      <c r="B435" t="s">
        <v>17</v>
      </c>
      <c r="C435" s="3">
        <v>34818</v>
      </c>
      <c r="D435" s="2">
        <f ca="1">DATEDIF(gym_membership[[#This Row],[birthday]],TODAY(),"y")</f>
        <v>31</v>
      </c>
      <c r="E435">
        <v>29</v>
      </c>
      <c r="F435" t="s">
        <v>22</v>
      </c>
      <c r="G435">
        <v>5</v>
      </c>
      <c r="H435" t="s">
        <v>195</v>
      </c>
      <c r="I435" t="s">
        <v>34</v>
      </c>
      <c r="J435" t="s">
        <v>26</v>
      </c>
      <c r="K435" t="s">
        <v>94</v>
      </c>
      <c r="L435" t="s">
        <v>95</v>
      </c>
      <c r="M435" t="s">
        <v>57</v>
      </c>
      <c r="N435" t="b">
        <v>0</v>
      </c>
      <c r="O435" t="s">
        <v>21</v>
      </c>
      <c r="S435" s="1">
        <v>0.75972222222222219</v>
      </c>
      <c r="T435" s="1">
        <v>0.87777777777777777</v>
      </c>
      <c r="U435">
        <v>170</v>
      </c>
      <c r="V435" t="b">
        <v>0</v>
      </c>
      <c r="W435" t="s">
        <v>21</v>
      </c>
      <c r="Z435" t="b">
        <v>0</v>
      </c>
      <c r="AA435" t="s">
        <v>456</v>
      </c>
      <c r="AB435" t="b">
        <v>0</v>
      </c>
      <c r="AD435" s="2"/>
    </row>
    <row r="436" spans="1:30" x14ac:dyDescent="0.25">
      <c r="A436">
        <v>435</v>
      </c>
      <c r="B436" t="s">
        <v>17</v>
      </c>
      <c r="C436" s="3">
        <v>29696</v>
      </c>
      <c r="D436" s="2">
        <f ca="1">DATEDIF(gym_membership[[#This Row],[birthday]],TODAY(),"y")</f>
        <v>45</v>
      </c>
      <c r="E436">
        <v>43</v>
      </c>
      <c r="F436" t="s">
        <v>22</v>
      </c>
      <c r="G436">
        <v>1</v>
      </c>
      <c r="H436" t="s">
        <v>26</v>
      </c>
      <c r="I436" t="s">
        <v>26</v>
      </c>
      <c r="N436" t="b">
        <v>1</v>
      </c>
      <c r="O436" t="s">
        <v>103</v>
      </c>
      <c r="P436" t="s">
        <v>103</v>
      </c>
      <c r="S436" s="1">
        <v>0.61388888888888893</v>
      </c>
      <c r="T436" s="1">
        <v>0.69722222222222219</v>
      </c>
      <c r="U436">
        <v>120</v>
      </c>
      <c r="V436" t="b">
        <v>1</v>
      </c>
      <c r="W436" t="s">
        <v>153</v>
      </c>
      <c r="X436" t="s">
        <v>31</v>
      </c>
      <c r="Y436" t="s">
        <v>76</v>
      </c>
      <c r="Z436" t="b">
        <v>1</v>
      </c>
      <c r="AA436" t="s">
        <v>24</v>
      </c>
      <c r="AB436" t="b">
        <v>1</v>
      </c>
      <c r="AD436" s="2"/>
    </row>
    <row r="437" spans="1:30" x14ac:dyDescent="0.25">
      <c r="A437">
        <v>436</v>
      </c>
      <c r="B437" t="s">
        <v>25</v>
      </c>
      <c r="C437" s="3">
        <v>37013</v>
      </c>
      <c r="D437" s="2">
        <f ca="1">DATEDIF(gym_membership[[#This Row],[birthday]],TODAY(),"y")</f>
        <v>25</v>
      </c>
      <c r="E437">
        <v>23</v>
      </c>
      <c r="F437" t="s">
        <v>22</v>
      </c>
      <c r="G437">
        <v>1</v>
      </c>
      <c r="H437" t="s">
        <v>94</v>
      </c>
      <c r="I437" t="s">
        <v>94</v>
      </c>
      <c r="N437" t="b">
        <v>0</v>
      </c>
      <c r="O437" t="s">
        <v>21</v>
      </c>
      <c r="S437" s="1">
        <v>0.4777777777777778</v>
      </c>
      <c r="T437" s="1">
        <v>0.5444444444444444</v>
      </c>
      <c r="U437">
        <v>96</v>
      </c>
      <c r="V437" t="b">
        <v>0</v>
      </c>
      <c r="W437" t="s">
        <v>21</v>
      </c>
      <c r="Z437" t="b">
        <v>1</v>
      </c>
      <c r="AA437" t="s">
        <v>29</v>
      </c>
      <c r="AB437" t="b">
        <v>0</v>
      </c>
      <c r="AD437" s="2"/>
    </row>
    <row r="438" spans="1:30" x14ac:dyDescent="0.25">
      <c r="A438">
        <v>437</v>
      </c>
      <c r="B438" t="s">
        <v>25</v>
      </c>
      <c r="C438" s="3">
        <v>35665</v>
      </c>
      <c r="D438" s="2">
        <f ca="1">DATEDIF(gym_membership[[#This Row],[birthday]],TODAY(),"y")</f>
        <v>29</v>
      </c>
      <c r="E438">
        <v>27</v>
      </c>
      <c r="F438" t="s">
        <v>18</v>
      </c>
      <c r="G438">
        <v>2</v>
      </c>
      <c r="H438" t="s">
        <v>228</v>
      </c>
      <c r="I438" t="s">
        <v>44</v>
      </c>
      <c r="J438" t="s">
        <v>95</v>
      </c>
      <c r="N438" t="b">
        <v>1</v>
      </c>
      <c r="O438" t="s">
        <v>91</v>
      </c>
      <c r="P438" t="s">
        <v>91</v>
      </c>
      <c r="S438" s="1">
        <v>0.68680555555555556</v>
      </c>
      <c r="T438" s="1">
        <v>0.79722222222222228</v>
      </c>
      <c r="U438">
        <v>159</v>
      </c>
      <c r="V438" t="b">
        <v>1</v>
      </c>
      <c r="W438" t="s">
        <v>39</v>
      </c>
      <c r="X438" t="s">
        <v>39</v>
      </c>
      <c r="Z438" t="b">
        <v>0</v>
      </c>
      <c r="AA438" t="s">
        <v>456</v>
      </c>
      <c r="AB438" t="b">
        <v>1</v>
      </c>
      <c r="AD438" s="2"/>
    </row>
    <row r="439" spans="1:30" x14ac:dyDescent="0.25">
      <c r="A439">
        <v>438</v>
      </c>
      <c r="B439" t="s">
        <v>25</v>
      </c>
      <c r="C439" s="3">
        <v>32926</v>
      </c>
      <c r="D439" s="2">
        <f ca="1">DATEDIF(gym_membership[[#This Row],[birthday]],TODAY(),"y")</f>
        <v>36</v>
      </c>
      <c r="E439">
        <v>34</v>
      </c>
      <c r="F439" t="s">
        <v>18</v>
      </c>
      <c r="G439">
        <v>2</v>
      </c>
      <c r="H439" t="s">
        <v>98</v>
      </c>
      <c r="I439" t="s">
        <v>57</v>
      </c>
      <c r="J439" t="s">
        <v>77</v>
      </c>
      <c r="N439" t="b">
        <v>0</v>
      </c>
      <c r="O439" t="s">
        <v>21</v>
      </c>
      <c r="S439" s="1">
        <v>0.72083333333333333</v>
      </c>
      <c r="T439" s="1">
        <v>0.7895833333333333</v>
      </c>
      <c r="U439">
        <v>99</v>
      </c>
      <c r="V439" t="b">
        <v>1</v>
      </c>
      <c r="W439" t="s">
        <v>31</v>
      </c>
      <c r="X439" t="s">
        <v>31</v>
      </c>
      <c r="Z439" t="b">
        <v>1</v>
      </c>
      <c r="AA439" t="s">
        <v>29</v>
      </c>
      <c r="AB439" t="b">
        <v>0</v>
      </c>
      <c r="AD439" s="2"/>
    </row>
    <row r="440" spans="1:30" x14ac:dyDescent="0.25">
      <c r="A440">
        <v>439</v>
      </c>
      <c r="B440" t="s">
        <v>25</v>
      </c>
      <c r="C440" s="3">
        <v>40897</v>
      </c>
      <c r="D440" s="2">
        <f ca="1">DATEDIF(gym_membership[[#This Row],[birthday]],TODAY(),"y")</f>
        <v>14</v>
      </c>
      <c r="E440">
        <v>12</v>
      </c>
      <c r="F440" t="s">
        <v>22</v>
      </c>
      <c r="G440">
        <v>2</v>
      </c>
      <c r="H440" t="s">
        <v>60</v>
      </c>
      <c r="I440" t="s">
        <v>26</v>
      </c>
      <c r="J440" t="s">
        <v>77</v>
      </c>
      <c r="N440" t="b">
        <v>1</v>
      </c>
      <c r="O440" t="s">
        <v>283</v>
      </c>
      <c r="P440" t="s">
        <v>120</v>
      </c>
      <c r="Q440" t="s">
        <v>96</v>
      </c>
      <c r="S440" s="1">
        <v>0.58194444444444449</v>
      </c>
      <c r="T440" s="1">
        <v>0.66388888888888886</v>
      </c>
      <c r="U440">
        <v>118</v>
      </c>
      <c r="V440" t="b">
        <v>1</v>
      </c>
      <c r="W440" t="s">
        <v>42</v>
      </c>
      <c r="X440" t="s">
        <v>59</v>
      </c>
      <c r="Y440" t="s">
        <v>65</v>
      </c>
      <c r="Z440" t="b">
        <v>1</v>
      </c>
      <c r="AA440" t="s">
        <v>24</v>
      </c>
      <c r="AB440" t="b">
        <v>1</v>
      </c>
      <c r="AD440" s="2"/>
    </row>
    <row r="441" spans="1:30" x14ac:dyDescent="0.25">
      <c r="A441">
        <v>440</v>
      </c>
      <c r="B441" t="s">
        <v>25</v>
      </c>
      <c r="C441" s="3">
        <v>32047</v>
      </c>
      <c r="D441" s="2">
        <f ca="1">DATEDIF(gym_membership[[#This Row],[birthday]],TODAY(),"y")</f>
        <v>38</v>
      </c>
      <c r="E441">
        <v>37</v>
      </c>
      <c r="F441" t="s">
        <v>18</v>
      </c>
      <c r="G441">
        <v>1</v>
      </c>
      <c r="H441" t="s">
        <v>26</v>
      </c>
      <c r="I441" t="s">
        <v>26</v>
      </c>
      <c r="N441" t="b">
        <v>1</v>
      </c>
      <c r="O441" t="s">
        <v>128</v>
      </c>
      <c r="P441" t="s">
        <v>128</v>
      </c>
      <c r="S441" s="1">
        <v>0.54861111111111116</v>
      </c>
      <c r="T441" s="1">
        <v>0.66805555555555551</v>
      </c>
      <c r="U441">
        <v>172</v>
      </c>
      <c r="V441" t="b">
        <v>0</v>
      </c>
      <c r="W441" t="s">
        <v>21</v>
      </c>
      <c r="Z441" t="b">
        <v>0</v>
      </c>
      <c r="AA441" t="s">
        <v>456</v>
      </c>
      <c r="AB441" t="b">
        <v>1</v>
      </c>
      <c r="AD441" s="2"/>
    </row>
    <row r="442" spans="1:30" x14ac:dyDescent="0.25">
      <c r="A442">
        <v>441</v>
      </c>
      <c r="B442" t="s">
        <v>17</v>
      </c>
      <c r="C442" s="3">
        <v>31495</v>
      </c>
      <c r="D442" s="2">
        <f ca="1">DATEDIF(gym_membership[[#This Row],[birthday]],TODAY(),"y")</f>
        <v>40</v>
      </c>
      <c r="E442">
        <v>38</v>
      </c>
      <c r="F442" t="s">
        <v>22</v>
      </c>
      <c r="G442">
        <v>3</v>
      </c>
      <c r="H442" t="s">
        <v>299</v>
      </c>
      <c r="I442" t="s">
        <v>95</v>
      </c>
      <c r="J442" t="s">
        <v>57</v>
      </c>
      <c r="K442" t="s">
        <v>77</v>
      </c>
      <c r="N442" t="b">
        <v>1</v>
      </c>
      <c r="O442" t="s">
        <v>100</v>
      </c>
      <c r="P442" t="s">
        <v>100</v>
      </c>
      <c r="S442" s="1">
        <v>0.69513888888888886</v>
      </c>
      <c r="T442" s="1">
        <v>0.7416666666666667</v>
      </c>
      <c r="U442">
        <v>67</v>
      </c>
      <c r="V442" t="b">
        <v>1</v>
      </c>
      <c r="W442" t="s">
        <v>125</v>
      </c>
      <c r="X442" t="s">
        <v>65</v>
      </c>
      <c r="Y442" t="s">
        <v>76</v>
      </c>
      <c r="Z442" t="b">
        <v>0</v>
      </c>
      <c r="AA442" t="s">
        <v>456</v>
      </c>
      <c r="AB442" t="b">
        <v>1</v>
      </c>
      <c r="AD442" s="2"/>
    </row>
    <row r="443" spans="1:30" x14ac:dyDescent="0.25">
      <c r="A443">
        <v>442</v>
      </c>
      <c r="B443" t="s">
        <v>17</v>
      </c>
      <c r="C443" s="3">
        <v>34471</v>
      </c>
      <c r="D443" s="2">
        <f ca="1">DATEDIF(gym_membership[[#This Row],[birthday]],TODAY(),"y")</f>
        <v>32</v>
      </c>
      <c r="E443">
        <v>30</v>
      </c>
      <c r="F443" t="s">
        <v>22</v>
      </c>
      <c r="G443">
        <v>1</v>
      </c>
      <c r="H443" t="s">
        <v>26</v>
      </c>
      <c r="I443" t="s">
        <v>26</v>
      </c>
      <c r="N443" t="b">
        <v>0</v>
      </c>
      <c r="O443" t="s">
        <v>21</v>
      </c>
      <c r="S443" s="1">
        <v>0.58888888888888891</v>
      </c>
      <c r="T443" s="1">
        <v>0.71388888888888891</v>
      </c>
      <c r="U443">
        <v>180</v>
      </c>
      <c r="V443" t="b">
        <v>0</v>
      </c>
      <c r="W443" t="s">
        <v>21</v>
      </c>
      <c r="Z443" t="b">
        <v>1</v>
      </c>
      <c r="AA443" t="s">
        <v>45</v>
      </c>
      <c r="AB443" t="b">
        <v>0</v>
      </c>
      <c r="AD443" s="2"/>
    </row>
    <row r="444" spans="1:30" x14ac:dyDescent="0.25">
      <c r="A444">
        <v>443</v>
      </c>
      <c r="B444" t="s">
        <v>17</v>
      </c>
      <c r="C444" s="3">
        <v>36110</v>
      </c>
      <c r="D444" s="2">
        <f ca="1">DATEDIF(gym_membership[[#This Row],[birthday]],TODAY(),"y")</f>
        <v>27</v>
      </c>
      <c r="E444">
        <v>25</v>
      </c>
      <c r="F444" t="s">
        <v>22</v>
      </c>
      <c r="G444">
        <v>2</v>
      </c>
      <c r="H444" t="s">
        <v>66</v>
      </c>
      <c r="I444" t="s">
        <v>34</v>
      </c>
      <c r="J444" t="s">
        <v>57</v>
      </c>
      <c r="N444" t="b">
        <v>1</v>
      </c>
      <c r="O444" t="s">
        <v>306</v>
      </c>
      <c r="P444" t="s">
        <v>128</v>
      </c>
      <c r="Q444" t="s">
        <v>100</v>
      </c>
      <c r="S444" s="1">
        <v>0.58263888888888893</v>
      </c>
      <c r="T444" s="1">
        <v>0.64513888888888893</v>
      </c>
      <c r="U444">
        <v>90</v>
      </c>
      <c r="V444" t="b">
        <v>0</v>
      </c>
      <c r="W444" t="s">
        <v>21</v>
      </c>
      <c r="Z444" t="b">
        <v>1</v>
      </c>
      <c r="AA444" t="s">
        <v>43</v>
      </c>
      <c r="AB444" t="b">
        <v>1</v>
      </c>
      <c r="AD444" s="2"/>
    </row>
    <row r="445" spans="1:30" x14ac:dyDescent="0.25">
      <c r="A445">
        <v>444</v>
      </c>
      <c r="B445" t="s">
        <v>25</v>
      </c>
      <c r="C445" s="3">
        <v>27448</v>
      </c>
      <c r="D445" s="2">
        <f ca="1">DATEDIF(gym_membership[[#This Row],[birthday]],TODAY(),"y")</f>
        <v>51</v>
      </c>
      <c r="E445">
        <v>49</v>
      </c>
      <c r="F445" t="s">
        <v>22</v>
      </c>
      <c r="G445">
        <v>2</v>
      </c>
      <c r="H445" t="s">
        <v>133</v>
      </c>
      <c r="I445" t="s">
        <v>34</v>
      </c>
      <c r="J445" t="s">
        <v>94</v>
      </c>
      <c r="N445" t="b">
        <v>0</v>
      </c>
      <c r="O445" t="s">
        <v>21</v>
      </c>
      <c r="S445" s="1">
        <v>0.77777777777777779</v>
      </c>
      <c r="T445" s="1">
        <v>0.86527777777777781</v>
      </c>
      <c r="U445">
        <v>126</v>
      </c>
      <c r="V445" t="b">
        <v>0</v>
      </c>
      <c r="W445" t="s">
        <v>21</v>
      </c>
      <c r="Z445" t="b">
        <v>1</v>
      </c>
      <c r="AA445" t="s">
        <v>45</v>
      </c>
      <c r="AB445" t="b">
        <v>1</v>
      </c>
      <c r="AD445" s="2"/>
    </row>
    <row r="446" spans="1:30" x14ac:dyDescent="0.25">
      <c r="A446">
        <v>445</v>
      </c>
      <c r="B446" t="s">
        <v>17</v>
      </c>
      <c r="C446" s="3">
        <v>32609</v>
      </c>
      <c r="D446" s="2">
        <f ca="1">DATEDIF(gym_membership[[#This Row],[birthday]],TODAY(),"y")</f>
        <v>37</v>
      </c>
      <c r="E446">
        <v>35</v>
      </c>
      <c r="F446" t="s">
        <v>18</v>
      </c>
      <c r="G446">
        <v>1</v>
      </c>
      <c r="H446" t="s">
        <v>57</v>
      </c>
      <c r="I446" t="s">
        <v>57</v>
      </c>
      <c r="N446" t="b">
        <v>0</v>
      </c>
      <c r="O446" t="s">
        <v>21</v>
      </c>
      <c r="S446" s="1">
        <v>0.5083333333333333</v>
      </c>
      <c r="T446" s="1">
        <v>0.6166666666666667</v>
      </c>
      <c r="U446">
        <v>156</v>
      </c>
      <c r="V446" t="b">
        <v>1</v>
      </c>
      <c r="W446" t="s">
        <v>51</v>
      </c>
      <c r="X446" t="s">
        <v>51</v>
      </c>
      <c r="Z446" t="b">
        <v>0</v>
      </c>
      <c r="AA446" t="s">
        <v>456</v>
      </c>
      <c r="AB446" t="b">
        <v>0</v>
      </c>
      <c r="AD446" s="2"/>
    </row>
    <row r="447" spans="1:30" x14ac:dyDescent="0.25">
      <c r="A447">
        <v>446</v>
      </c>
      <c r="B447" t="s">
        <v>17</v>
      </c>
      <c r="C447" s="3">
        <v>30290</v>
      </c>
      <c r="D447" s="2">
        <f ca="1">DATEDIF(gym_membership[[#This Row],[birthday]],TODAY(),"y")</f>
        <v>43</v>
      </c>
      <c r="E447">
        <v>41</v>
      </c>
      <c r="F447" t="s">
        <v>22</v>
      </c>
      <c r="G447">
        <v>2</v>
      </c>
      <c r="H447" t="s">
        <v>126</v>
      </c>
      <c r="I447" t="s">
        <v>94</v>
      </c>
      <c r="J447" t="s">
        <v>57</v>
      </c>
      <c r="N447" t="b">
        <v>1</v>
      </c>
      <c r="O447" t="s">
        <v>307</v>
      </c>
      <c r="P447" t="s">
        <v>67</v>
      </c>
      <c r="Q447" t="s">
        <v>96</v>
      </c>
      <c r="S447" s="1">
        <v>0.58750000000000002</v>
      </c>
      <c r="T447" s="1">
        <v>0.67083333333333328</v>
      </c>
      <c r="U447">
        <v>120</v>
      </c>
      <c r="V447" t="b">
        <v>1</v>
      </c>
      <c r="W447" t="s">
        <v>114</v>
      </c>
      <c r="X447" t="s">
        <v>59</v>
      </c>
      <c r="Y447" t="s">
        <v>76</v>
      </c>
      <c r="Z447" t="b">
        <v>1</v>
      </c>
      <c r="AA447" t="s">
        <v>43</v>
      </c>
      <c r="AB447" t="b">
        <v>1</v>
      </c>
      <c r="AD447" s="2"/>
    </row>
    <row r="448" spans="1:30" x14ac:dyDescent="0.25">
      <c r="A448">
        <v>447</v>
      </c>
      <c r="B448" t="s">
        <v>25</v>
      </c>
      <c r="C448" s="3">
        <v>33337</v>
      </c>
      <c r="D448" s="2">
        <f ca="1">DATEDIF(gym_membership[[#This Row],[birthday]],TODAY(),"y")</f>
        <v>35</v>
      </c>
      <c r="E448">
        <v>33</v>
      </c>
      <c r="F448" t="s">
        <v>18</v>
      </c>
      <c r="G448">
        <v>3</v>
      </c>
      <c r="H448" t="s">
        <v>173</v>
      </c>
      <c r="I448" t="s">
        <v>34</v>
      </c>
      <c r="J448" t="s">
        <v>95</v>
      </c>
      <c r="K448" t="s">
        <v>57</v>
      </c>
      <c r="N448" t="b">
        <v>0</v>
      </c>
      <c r="O448" t="s">
        <v>21</v>
      </c>
      <c r="S448" s="1">
        <v>0.38472222222222224</v>
      </c>
      <c r="T448" s="1">
        <v>0.43819444444444444</v>
      </c>
      <c r="U448">
        <v>77</v>
      </c>
      <c r="V448" t="b">
        <v>1</v>
      </c>
      <c r="W448" t="s">
        <v>42</v>
      </c>
      <c r="X448" t="s">
        <v>59</v>
      </c>
      <c r="Y448" t="s">
        <v>65</v>
      </c>
      <c r="Z448" t="b">
        <v>0</v>
      </c>
      <c r="AA448" t="s">
        <v>456</v>
      </c>
      <c r="AB448" t="b">
        <v>1</v>
      </c>
      <c r="AD448" s="2"/>
    </row>
    <row r="449" spans="1:30" x14ac:dyDescent="0.25">
      <c r="A449">
        <v>448</v>
      </c>
      <c r="B449" t="s">
        <v>17</v>
      </c>
      <c r="C449" s="3">
        <v>35624</v>
      </c>
      <c r="D449" s="2">
        <f ca="1">DATEDIF(gym_membership[[#This Row],[birthday]],TODAY(),"y")</f>
        <v>29</v>
      </c>
      <c r="E449">
        <v>27</v>
      </c>
      <c r="F449" t="s">
        <v>18</v>
      </c>
      <c r="G449">
        <v>2</v>
      </c>
      <c r="H449" t="s">
        <v>119</v>
      </c>
      <c r="I449" t="s">
        <v>44</v>
      </c>
      <c r="J449" t="s">
        <v>57</v>
      </c>
      <c r="N449" t="b">
        <v>0</v>
      </c>
      <c r="O449" t="s">
        <v>21</v>
      </c>
      <c r="S449" s="1">
        <v>0.72361111111111109</v>
      </c>
      <c r="T449" s="1">
        <v>0.81388888888888888</v>
      </c>
      <c r="U449">
        <v>130</v>
      </c>
      <c r="V449" t="b">
        <v>1</v>
      </c>
      <c r="W449" t="s">
        <v>92</v>
      </c>
      <c r="X449" t="s">
        <v>31</v>
      </c>
      <c r="Y449" t="s">
        <v>51</v>
      </c>
      <c r="Z449" t="b">
        <v>0</v>
      </c>
      <c r="AA449" t="s">
        <v>456</v>
      </c>
      <c r="AB449" t="b">
        <v>0</v>
      </c>
      <c r="AD449" s="2"/>
    </row>
    <row r="450" spans="1:30" x14ac:dyDescent="0.25">
      <c r="A450">
        <v>449</v>
      </c>
      <c r="B450" t="s">
        <v>17</v>
      </c>
      <c r="C450" s="3">
        <v>38921</v>
      </c>
      <c r="D450" s="2">
        <f ca="1">DATEDIF(gym_membership[[#This Row],[birthday]],TODAY(),"y")</f>
        <v>20</v>
      </c>
      <c r="E450">
        <v>18</v>
      </c>
      <c r="F450" t="s">
        <v>22</v>
      </c>
      <c r="G450">
        <v>3</v>
      </c>
      <c r="H450" t="s">
        <v>46</v>
      </c>
      <c r="I450" t="s">
        <v>44</v>
      </c>
      <c r="J450" t="s">
        <v>95</v>
      </c>
      <c r="K450" t="s">
        <v>77</v>
      </c>
      <c r="N450" t="b">
        <v>1</v>
      </c>
      <c r="O450" t="s">
        <v>308</v>
      </c>
      <c r="P450" t="s">
        <v>96</v>
      </c>
      <c r="Q450" t="s">
        <v>58</v>
      </c>
      <c r="R450" t="s">
        <v>67</v>
      </c>
      <c r="S450" s="1">
        <v>0.77986111111111112</v>
      </c>
      <c r="T450" s="1">
        <v>0.87916666666666665</v>
      </c>
      <c r="U450">
        <v>143</v>
      </c>
      <c r="V450" t="b">
        <v>1</v>
      </c>
      <c r="W450" t="s">
        <v>31</v>
      </c>
      <c r="X450" t="s">
        <v>31</v>
      </c>
      <c r="Z450" t="b">
        <v>0</v>
      </c>
      <c r="AA450" t="s">
        <v>456</v>
      </c>
      <c r="AB450" t="b">
        <v>1</v>
      </c>
      <c r="AD450" s="2"/>
    </row>
    <row r="451" spans="1:30" x14ac:dyDescent="0.25">
      <c r="A451">
        <v>450</v>
      </c>
      <c r="B451" t="s">
        <v>25</v>
      </c>
      <c r="C451" s="3">
        <v>38892</v>
      </c>
      <c r="D451" s="2">
        <f ca="1">DATEDIF(gym_membership[[#This Row],[birthday]],TODAY(),"y")</f>
        <v>20</v>
      </c>
      <c r="E451">
        <v>18</v>
      </c>
      <c r="F451" t="s">
        <v>18</v>
      </c>
      <c r="G451">
        <v>4</v>
      </c>
      <c r="H451" t="s">
        <v>259</v>
      </c>
      <c r="I451" t="s">
        <v>44</v>
      </c>
      <c r="J451" t="s">
        <v>26</v>
      </c>
      <c r="K451" t="s">
        <v>94</v>
      </c>
      <c r="L451" t="s">
        <v>57</v>
      </c>
      <c r="N451" t="b">
        <v>1</v>
      </c>
      <c r="O451" t="s">
        <v>128</v>
      </c>
      <c r="P451" t="s">
        <v>128</v>
      </c>
      <c r="S451" s="1">
        <v>0.79722222222222228</v>
      </c>
      <c r="T451" s="1">
        <v>0.89722222222222225</v>
      </c>
      <c r="U451">
        <v>144</v>
      </c>
      <c r="V451" t="b">
        <v>1</v>
      </c>
      <c r="W451" t="s">
        <v>51</v>
      </c>
      <c r="X451" t="s">
        <v>51</v>
      </c>
      <c r="Z451" t="b">
        <v>0</v>
      </c>
      <c r="AA451" t="s">
        <v>456</v>
      </c>
      <c r="AB451" t="b">
        <v>0</v>
      </c>
      <c r="AD451" s="2"/>
    </row>
    <row r="452" spans="1:30" x14ac:dyDescent="0.25">
      <c r="A452">
        <v>451</v>
      </c>
      <c r="B452" t="s">
        <v>17</v>
      </c>
      <c r="C452" s="3">
        <v>34433</v>
      </c>
      <c r="D452" s="2">
        <f ca="1">DATEDIF(gym_membership[[#This Row],[birthday]],TODAY(),"y")</f>
        <v>32</v>
      </c>
      <c r="E452">
        <v>30</v>
      </c>
      <c r="F452" t="s">
        <v>18</v>
      </c>
      <c r="G452">
        <v>4</v>
      </c>
      <c r="H452" t="s">
        <v>309</v>
      </c>
      <c r="I452" t="s">
        <v>44</v>
      </c>
      <c r="J452" t="s">
        <v>26</v>
      </c>
      <c r="K452" t="s">
        <v>94</v>
      </c>
      <c r="L452" t="s">
        <v>77</v>
      </c>
      <c r="N452" t="b">
        <v>1</v>
      </c>
      <c r="O452" t="s">
        <v>310</v>
      </c>
      <c r="P452" t="s">
        <v>41</v>
      </c>
      <c r="Q452" t="s">
        <v>58</v>
      </c>
      <c r="R452" t="s">
        <v>103</v>
      </c>
      <c r="S452" s="1">
        <v>0.6020833333333333</v>
      </c>
      <c r="T452" s="1">
        <v>0.67291666666666672</v>
      </c>
      <c r="U452">
        <v>102</v>
      </c>
      <c r="V452" t="b">
        <v>0</v>
      </c>
      <c r="W452" t="s">
        <v>21</v>
      </c>
      <c r="Z452" t="b">
        <v>1</v>
      </c>
      <c r="AA452" t="s">
        <v>43</v>
      </c>
      <c r="AB452" t="b">
        <v>0</v>
      </c>
      <c r="AD452" s="2"/>
    </row>
    <row r="453" spans="1:30" x14ac:dyDescent="0.25">
      <c r="A453">
        <v>452</v>
      </c>
      <c r="B453" t="s">
        <v>17</v>
      </c>
      <c r="C453" s="3">
        <v>31214</v>
      </c>
      <c r="D453" s="2">
        <f ca="1">DATEDIF(gym_membership[[#This Row],[birthday]],TODAY(),"y")</f>
        <v>41</v>
      </c>
      <c r="E453">
        <v>39</v>
      </c>
      <c r="F453" t="s">
        <v>22</v>
      </c>
      <c r="G453">
        <v>4</v>
      </c>
      <c r="H453" t="s">
        <v>200</v>
      </c>
      <c r="I453" t="s">
        <v>26</v>
      </c>
      <c r="J453" t="s">
        <v>94</v>
      </c>
      <c r="K453" t="s">
        <v>95</v>
      </c>
      <c r="L453" t="s">
        <v>57</v>
      </c>
      <c r="N453" t="b">
        <v>1</v>
      </c>
      <c r="O453" t="s">
        <v>216</v>
      </c>
      <c r="P453" t="s">
        <v>100</v>
      </c>
      <c r="Q453" t="s">
        <v>67</v>
      </c>
      <c r="S453" s="1">
        <v>0.68125000000000002</v>
      </c>
      <c r="T453" s="1">
        <v>0.7319444444444444</v>
      </c>
      <c r="U453">
        <v>73</v>
      </c>
      <c r="V453" t="b">
        <v>1</v>
      </c>
      <c r="W453" t="s">
        <v>163</v>
      </c>
      <c r="X453" t="s">
        <v>65</v>
      </c>
      <c r="Y453" t="s">
        <v>51</v>
      </c>
      <c r="Z453" t="b">
        <v>1</v>
      </c>
      <c r="AA453" t="s">
        <v>43</v>
      </c>
      <c r="AB453" t="b">
        <v>0</v>
      </c>
      <c r="AD453" s="2"/>
    </row>
    <row r="454" spans="1:30" x14ac:dyDescent="0.25">
      <c r="A454">
        <v>453</v>
      </c>
      <c r="B454" t="s">
        <v>17</v>
      </c>
      <c r="C454" s="3">
        <v>34418</v>
      </c>
      <c r="D454" s="2">
        <f ca="1">DATEDIF(gym_membership[[#This Row],[birthday]],TODAY(),"y")</f>
        <v>32</v>
      </c>
      <c r="E454">
        <v>30</v>
      </c>
      <c r="F454" t="s">
        <v>22</v>
      </c>
      <c r="G454">
        <v>3</v>
      </c>
      <c r="H454" t="s">
        <v>149</v>
      </c>
      <c r="I454" t="s">
        <v>26</v>
      </c>
      <c r="J454" t="s">
        <v>94</v>
      </c>
      <c r="K454" t="s">
        <v>77</v>
      </c>
      <c r="N454" t="b">
        <v>1</v>
      </c>
      <c r="O454" t="s">
        <v>305</v>
      </c>
      <c r="P454" t="s">
        <v>103</v>
      </c>
      <c r="Q454" t="s">
        <v>100</v>
      </c>
      <c r="S454" s="1">
        <v>0.77500000000000002</v>
      </c>
      <c r="T454" s="1">
        <v>0.85624999999999996</v>
      </c>
      <c r="U454">
        <v>117</v>
      </c>
      <c r="V454" t="b">
        <v>1</v>
      </c>
      <c r="W454" t="s">
        <v>59</v>
      </c>
      <c r="X454" t="s">
        <v>59</v>
      </c>
      <c r="Z454" t="b">
        <v>1</v>
      </c>
      <c r="AA454" t="s">
        <v>43</v>
      </c>
      <c r="AB454" t="b">
        <v>0</v>
      </c>
      <c r="AD454" s="2"/>
    </row>
    <row r="455" spans="1:30" x14ac:dyDescent="0.25">
      <c r="A455">
        <v>454</v>
      </c>
      <c r="B455" t="s">
        <v>17</v>
      </c>
      <c r="C455" s="3">
        <v>36170</v>
      </c>
      <c r="D455" s="2">
        <f ca="1">DATEDIF(gym_membership[[#This Row],[birthday]],TODAY(),"y")</f>
        <v>27</v>
      </c>
      <c r="E455">
        <v>25</v>
      </c>
      <c r="F455" t="s">
        <v>18</v>
      </c>
      <c r="G455">
        <v>4</v>
      </c>
      <c r="H455" t="s">
        <v>287</v>
      </c>
      <c r="I455" t="s">
        <v>34</v>
      </c>
      <c r="J455" t="s">
        <v>94</v>
      </c>
      <c r="K455" t="s">
        <v>57</v>
      </c>
      <c r="L455" t="s">
        <v>77</v>
      </c>
      <c r="N455" t="b">
        <v>1</v>
      </c>
      <c r="O455" t="s">
        <v>128</v>
      </c>
      <c r="P455" t="s">
        <v>128</v>
      </c>
      <c r="S455" s="1">
        <v>0.75972222222222219</v>
      </c>
      <c r="T455" s="1">
        <v>0.83263888888888893</v>
      </c>
      <c r="U455">
        <v>105</v>
      </c>
      <c r="V455" t="b">
        <v>0</v>
      </c>
      <c r="W455" t="s">
        <v>21</v>
      </c>
      <c r="Z455" t="b">
        <v>1</v>
      </c>
      <c r="AA455" t="s">
        <v>24</v>
      </c>
      <c r="AB455" t="b">
        <v>1</v>
      </c>
      <c r="AD455" s="2"/>
    </row>
    <row r="456" spans="1:30" x14ac:dyDescent="0.25">
      <c r="A456">
        <v>455</v>
      </c>
      <c r="B456" t="s">
        <v>17</v>
      </c>
      <c r="C456" s="3">
        <v>39587</v>
      </c>
      <c r="D456" s="2">
        <f ca="1">DATEDIF(gym_membership[[#This Row],[birthday]],TODAY(),"y")</f>
        <v>18</v>
      </c>
      <c r="E456">
        <v>16</v>
      </c>
      <c r="F456" t="s">
        <v>22</v>
      </c>
      <c r="G456">
        <v>1</v>
      </c>
      <c r="H456" t="s">
        <v>34</v>
      </c>
      <c r="I456" t="s">
        <v>34</v>
      </c>
      <c r="N456" t="b">
        <v>1</v>
      </c>
      <c r="O456" t="s">
        <v>311</v>
      </c>
      <c r="P456" t="s">
        <v>96</v>
      </c>
      <c r="Q456" t="s">
        <v>58</v>
      </c>
      <c r="R456" t="s">
        <v>103</v>
      </c>
      <c r="S456" s="1">
        <v>0.83472222222222225</v>
      </c>
      <c r="T456" s="1">
        <v>0.94236111111111109</v>
      </c>
      <c r="U456">
        <v>155</v>
      </c>
      <c r="V456" t="b">
        <v>0</v>
      </c>
      <c r="W456" t="s">
        <v>21</v>
      </c>
      <c r="Z456" t="b">
        <v>1</v>
      </c>
      <c r="AA456" t="s">
        <v>29</v>
      </c>
      <c r="AB456" t="b">
        <v>0</v>
      </c>
      <c r="AD456" s="2"/>
    </row>
    <row r="457" spans="1:30" x14ac:dyDescent="0.25">
      <c r="A457">
        <v>456</v>
      </c>
      <c r="B457" t="s">
        <v>25</v>
      </c>
      <c r="C457" s="3">
        <v>34329</v>
      </c>
      <c r="D457" s="2">
        <f ca="1">DATEDIF(gym_membership[[#This Row],[birthday]],TODAY(),"y")</f>
        <v>32</v>
      </c>
      <c r="E457">
        <v>30</v>
      </c>
      <c r="F457" t="s">
        <v>22</v>
      </c>
      <c r="G457">
        <v>3</v>
      </c>
      <c r="H457" t="s">
        <v>35</v>
      </c>
      <c r="I457" t="s">
        <v>26</v>
      </c>
      <c r="J457" t="s">
        <v>95</v>
      </c>
      <c r="K457" t="s">
        <v>77</v>
      </c>
      <c r="N457" t="b">
        <v>1</v>
      </c>
      <c r="O457" t="s">
        <v>103</v>
      </c>
      <c r="P457" t="s">
        <v>103</v>
      </c>
      <c r="S457" s="1">
        <v>0.62152777777777779</v>
      </c>
      <c r="T457" s="1">
        <v>0.66736111111111107</v>
      </c>
      <c r="U457">
        <v>66</v>
      </c>
      <c r="V457" t="b">
        <v>0</v>
      </c>
      <c r="W457" t="s">
        <v>21</v>
      </c>
      <c r="Z457" t="b">
        <v>1</v>
      </c>
      <c r="AA457" t="s">
        <v>24</v>
      </c>
      <c r="AB457" t="b">
        <v>1</v>
      </c>
      <c r="AD457" s="2"/>
    </row>
    <row r="458" spans="1:30" x14ac:dyDescent="0.25">
      <c r="A458">
        <v>457</v>
      </c>
      <c r="B458" t="s">
        <v>17</v>
      </c>
      <c r="C458" s="3">
        <v>30394</v>
      </c>
      <c r="D458" s="2">
        <f ca="1">DATEDIF(gym_membership[[#This Row],[birthday]],TODAY(),"y")</f>
        <v>43</v>
      </c>
      <c r="E458">
        <v>41</v>
      </c>
      <c r="F458" t="s">
        <v>18</v>
      </c>
      <c r="G458">
        <v>1</v>
      </c>
      <c r="H458" t="s">
        <v>77</v>
      </c>
      <c r="I458" t="s">
        <v>77</v>
      </c>
      <c r="N458" t="b">
        <v>0</v>
      </c>
      <c r="O458" t="s">
        <v>21</v>
      </c>
      <c r="S458" s="1">
        <v>0.68125000000000002</v>
      </c>
      <c r="T458" s="1">
        <v>0.77708333333333335</v>
      </c>
      <c r="U458">
        <v>138</v>
      </c>
      <c r="V458" t="b">
        <v>1</v>
      </c>
      <c r="W458" t="s">
        <v>76</v>
      </c>
      <c r="X458" t="s">
        <v>76</v>
      </c>
      <c r="Z458" t="b">
        <v>1</v>
      </c>
      <c r="AA458" t="s">
        <v>45</v>
      </c>
      <c r="AB458" t="b">
        <v>0</v>
      </c>
      <c r="AD458" s="2"/>
    </row>
    <row r="459" spans="1:30" x14ac:dyDescent="0.25">
      <c r="A459">
        <v>458</v>
      </c>
      <c r="B459" t="s">
        <v>17</v>
      </c>
      <c r="C459" s="3">
        <v>31457</v>
      </c>
      <c r="D459" s="2">
        <f ca="1">DATEDIF(gym_membership[[#This Row],[birthday]],TODAY(),"y")</f>
        <v>40</v>
      </c>
      <c r="E459">
        <v>38</v>
      </c>
      <c r="F459" t="s">
        <v>22</v>
      </c>
      <c r="G459">
        <v>3</v>
      </c>
      <c r="H459" t="s">
        <v>93</v>
      </c>
      <c r="I459" t="s">
        <v>34</v>
      </c>
      <c r="J459" t="s">
        <v>94</v>
      </c>
      <c r="K459" t="s">
        <v>57</v>
      </c>
      <c r="N459" t="b">
        <v>1</v>
      </c>
      <c r="O459" t="s">
        <v>58</v>
      </c>
      <c r="P459" t="s">
        <v>58</v>
      </c>
      <c r="S459" s="1">
        <v>0.48402777777777778</v>
      </c>
      <c r="T459" s="1">
        <v>0.5395833333333333</v>
      </c>
      <c r="U459">
        <v>80</v>
      </c>
      <c r="V459" t="b">
        <v>1</v>
      </c>
      <c r="W459" t="s">
        <v>52</v>
      </c>
      <c r="X459" t="s">
        <v>59</v>
      </c>
      <c r="Y459" t="s">
        <v>51</v>
      </c>
      <c r="Z459" t="b">
        <v>1</v>
      </c>
      <c r="AA459" t="s">
        <v>43</v>
      </c>
      <c r="AB459" t="b">
        <v>1</v>
      </c>
      <c r="AD459" s="2"/>
    </row>
    <row r="460" spans="1:30" x14ac:dyDescent="0.25">
      <c r="A460">
        <v>459</v>
      </c>
      <c r="B460" t="s">
        <v>25</v>
      </c>
      <c r="C460" s="3">
        <v>28551</v>
      </c>
      <c r="D460" s="2">
        <f ca="1">DATEDIF(gym_membership[[#This Row],[birthday]],TODAY(),"y")</f>
        <v>48</v>
      </c>
      <c r="E460">
        <v>46</v>
      </c>
      <c r="F460" t="s">
        <v>22</v>
      </c>
      <c r="G460">
        <v>3</v>
      </c>
      <c r="H460" t="s">
        <v>56</v>
      </c>
      <c r="I460" t="s">
        <v>26</v>
      </c>
      <c r="J460" t="s">
        <v>95</v>
      </c>
      <c r="K460" t="s">
        <v>57</v>
      </c>
      <c r="N460" t="b">
        <v>0</v>
      </c>
      <c r="O460" t="s">
        <v>21</v>
      </c>
      <c r="S460" s="1">
        <v>0.76944444444444449</v>
      </c>
      <c r="T460" s="1">
        <v>0.81944444444444442</v>
      </c>
      <c r="U460">
        <v>72</v>
      </c>
      <c r="V460" t="b">
        <v>0</v>
      </c>
      <c r="W460" t="s">
        <v>21</v>
      </c>
      <c r="Z460" t="b">
        <v>1</v>
      </c>
      <c r="AA460" t="s">
        <v>43</v>
      </c>
      <c r="AB460" t="b">
        <v>0</v>
      </c>
      <c r="AD460" s="2"/>
    </row>
    <row r="461" spans="1:30" x14ac:dyDescent="0.25">
      <c r="A461">
        <v>460</v>
      </c>
      <c r="B461" t="s">
        <v>17</v>
      </c>
      <c r="C461" s="3">
        <v>35053</v>
      </c>
      <c r="D461" s="2">
        <f ca="1">DATEDIF(gym_membership[[#This Row],[birthday]],TODAY(),"y")</f>
        <v>30</v>
      </c>
      <c r="E461">
        <v>28</v>
      </c>
      <c r="F461" t="s">
        <v>18</v>
      </c>
      <c r="G461">
        <v>4</v>
      </c>
      <c r="H461" t="s">
        <v>294</v>
      </c>
      <c r="I461" t="s">
        <v>34</v>
      </c>
      <c r="J461" t="s">
        <v>26</v>
      </c>
      <c r="K461" t="s">
        <v>95</v>
      </c>
      <c r="L461" t="s">
        <v>77</v>
      </c>
      <c r="N461" t="b">
        <v>0</v>
      </c>
      <c r="O461" t="s">
        <v>21</v>
      </c>
      <c r="S461" s="1">
        <v>0.39027777777777778</v>
      </c>
      <c r="T461" s="1">
        <v>0.45624999999999999</v>
      </c>
      <c r="U461">
        <v>95</v>
      </c>
      <c r="V461" t="b">
        <v>0</v>
      </c>
      <c r="W461" t="s">
        <v>21</v>
      </c>
      <c r="Z461" t="b">
        <v>1</v>
      </c>
      <c r="AA461" t="s">
        <v>43</v>
      </c>
      <c r="AB461" t="b">
        <v>0</v>
      </c>
      <c r="AD461" s="2"/>
    </row>
    <row r="462" spans="1:30" x14ac:dyDescent="0.25">
      <c r="A462">
        <v>461</v>
      </c>
      <c r="B462" t="s">
        <v>25</v>
      </c>
      <c r="C462" s="3">
        <v>39987</v>
      </c>
      <c r="D462" s="2">
        <f ca="1">DATEDIF(gym_membership[[#This Row],[birthday]],TODAY(),"y")</f>
        <v>17</v>
      </c>
      <c r="E462">
        <v>15</v>
      </c>
      <c r="F462" t="s">
        <v>18</v>
      </c>
      <c r="G462">
        <v>2</v>
      </c>
      <c r="H462" t="s">
        <v>289</v>
      </c>
      <c r="I462" t="s">
        <v>34</v>
      </c>
      <c r="J462" t="s">
        <v>95</v>
      </c>
      <c r="N462" t="b">
        <v>1</v>
      </c>
      <c r="O462" t="s">
        <v>275</v>
      </c>
      <c r="P462" t="s">
        <v>27</v>
      </c>
      <c r="Q462" t="s">
        <v>103</v>
      </c>
      <c r="S462" s="1">
        <v>0.79652777777777772</v>
      </c>
      <c r="T462" s="1">
        <v>0.91805555555555551</v>
      </c>
      <c r="U462">
        <v>175</v>
      </c>
      <c r="V462" t="b">
        <v>1</v>
      </c>
      <c r="W462" t="s">
        <v>304</v>
      </c>
      <c r="X462" t="s">
        <v>51</v>
      </c>
      <c r="Y462" t="s">
        <v>59</v>
      </c>
      <c r="Z462" t="b">
        <v>0</v>
      </c>
      <c r="AA462" t="s">
        <v>456</v>
      </c>
      <c r="AB462" t="b">
        <v>1</v>
      </c>
      <c r="AD462" s="2"/>
    </row>
    <row r="463" spans="1:30" x14ac:dyDescent="0.25">
      <c r="A463">
        <v>462</v>
      </c>
      <c r="B463" t="s">
        <v>25</v>
      </c>
      <c r="C463" s="3">
        <v>36312</v>
      </c>
      <c r="D463" s="2">
        <f ca="1">DATEDIF(gym_membership[[#This Row],[birthday]],TODAY(),"y")</f>
        <v>27</v>
      </c>
      <c r="E463">
        <v>25</v>
      </c>
      <c r="F463" t="s">
        <v>18</v>
      </c>
      <c r="G463">
        <v>2</v>
      </c>
      <c r="H463" t="s">
        <v>235</v>
      </c>
      <c r="I463" t="s">
        <v>95</v>
      </c>
      <c r="J463" t="s">
        <v>57</v>
      </c>
      <c r="N463" t="b">
        <v>0</v>
      </c>
      <c r="O463" t="s">
        <v>21</v>
      </c>
      <c r="S463" s="1">
        <v>0.4548611111111111</v>
      </c>
      <c r="T463" s="1">
        <v>0.57708333333333328</v>
      </c>
      <c r="U463">
        <v>176</v>
      </c>
      <c r="V463" t="b">
        <v>1</v>
      </c>
      <c r="W463" t="s">
        <v>65</v>
      </c>
      <c r="X463" t="s">
        <v>65</v>
      </c>
      <c r="Z463" t="b">
        <v>0</v>
      </c>
      <c r="AA463" t="s">
        <v>456</v>
      </c>
      <c r="AB463" t="b">
        <v>1</v>
      </c>
      <c r="AD463" s="2"/>
    </row>
    <row r="464" spans="1:30" x14ac:dyDescent="0.25">
      <c r="A464">
        <v>463</v>
      </c>
      <c r="B464" t="s">
        <v>17</v>
      </c>
      <c r="C464" s="3">
        <v>38829</v>
      </c>
      <c r="D464" s="2">
        <f ca="1">DATEDIF(gym_membership[[#This Row],[birthday]],TODAY(),"y")</f>
        <v>20</v>
      </c>
      <c r="E464">
        <v>18</v>
      </c>
      <c r="F464" t="s">
        <v>22</v>
      </c>
      <c r="G464">
        <v>2</v>
      </c>
      <c r="H464" t="s">
        <v>119</v>
      </c>
      <c r="I464" t="s">
        <v>44</v>
      </c>
      <c r="J464" t="s">
        <v>57</v>
      </c>
      <c r="N464" t="b">
        <v>0</v>
      </c>
      <c r="O464" t="s">
        <v>21</v>
      </c>
      <c r="S464" s="1">
        <v>0.76041666666666663</v>
      </c>
      <c r="T464" s="1">
        <v>0.87430555555555556</v>
      </c>
      <c r="U464">
        <v>164</v>
      </c>
      <c r="V464" t="b">
        <v>0</v>
      </c>
      <c r="W464" t="s">
        <v>21</v>
      </c>
      <c r="Z464" t="b">
        <v>0</v>
      </c>
      <c r="AA464" t="s">
        <v>456</v>
      </c>
      <c r="AB464" t="b">
        <v>0</v>
      </c>
      <c r="AD464" s="2"/>
    </row>
    <row r="465" spans="1:30" x14ac:dyDescent="0.25">
      <c r="A465">
        <v>464</v>
      </c>
      <c r="B465" t="s">
        <v>17</v>
      </c>
      <c r="C465" s="3">
        <v>31675</v>
      </c>
      <c r="D465" s="2">
        <f ca="1">DATEDIF(gym_membership[[#This Row],[birthday]],TODAY(),"y")</f>
        <v>39</v>
      </c>
      <c r="E465">
        <v>38</v>
      </c>
      <c r="F465" t="s">
        <v>18</v>
      </c>
      <c r="G465">
        <v>4</v>
      </c>
      <c r="H465" t="s">
        <v>192</v>
      </c>
      <c r="I465" t="s">
        <v>44</v>
      </c>
      <c r="J465" t="s">
        <v>34</v>
      </c>
      <c r="K465" t="s">
        <v>95</v>
      </c>
      <c r="L465" t="s">
        <v>77</v>
      </c>
      <c r="N465" t="b">
        <v>1</v>
      </c>
      <c r="O465" t="s">
        <v>312</v>
      </c>
      <c r="P465" t="s">
        <v>41</v>
      </c>
      <c r="Q465" t="s">
        <v>91</v>
      </c>
      <c r="R465" t="s">
        <v>67</v>
      </c>
      <c r="S465" s="1">
        <v>0.87083333333333335</v>
      </c>
      <c r="T465" s="1">
        <v>0.94513888888888886</v>
      </c>
      <c r="U465">
        <v>107</v>
      </c>
      <c r="V465" t="b">
        <v>0</v>
      </c>
      <c r="W465" t="s">
        <v>21</v>
      </c>
      <c r="Z465" t="b">
        <v>1</v>
      </c>
      <c r="AA465" t="s">
        <v>45</v>
      </c>
      <c r="AB465" t="b">
        <v>1</v>
      </c>
      <c r="AD465" s="2"/>
    </row>
    <row r="466" spans="1:30" x14ac:dyDescent="0.25">
      <c r="A466">
        <v>465</v>
      </c>
      <c r="B466" t="s">
        <v>17</v>
      </c>
      <c r="C466" s="3">
        <v>37193</v>
      </c>
      <c r="D466" s="2">
        <f ca="1">DATEDIF(gym_membership[[#This Row],[birthday]],TODAY(),"y")</f>
        <v>24</v>
      </c>
      <c r="E466">
        <v>22</v>
      </c>
      <c r="F466" t="s">
        <v>22</v>
      </c>
      <c r="G466">
        <v>4</v>
      </c>
      <c r="H466" t="s">
        <v>313</v>
      </c>
      <c r="I466" t="s">
        <v>44</v>
      </c>
      <c r="J466" t="s">
        <v>26</v>
      </c>
      <c r="K466" t="s">
        <v>95</v>
      </c>
      <c r="L466" t="s">
        <v>57</v>
      </c>
      <c r="N466" t="b">
        <v>0</v>
      </c>
      <c r="O466" t="s">
        <v>21</v>
      </c>
      <c r="S466" s="1">
        <v>0.60624999999999996</v>
      </c>
      <c r="T466" s="1">
        <v>0.65833333333333333</v>
      </c>
      <c r="U466">
        <v>75</v>
      </c>
      <c r="V466" t="b">
        <v>1</v>
      </c>
      <c r="W466" t="s">
        <v>59</v>
      </c>
      <c r="X466" t="s">
        <v>59</v>
      </c>
      <c r="Z466" t="b">
        <v>0</v>
      </c>
      <c r="AA466" t="s">
        <v>456</v>
      </c>
      <c r="AB466" t="b">
        <v>1</v>
      </c>
      <c r="AD466" s="2"/>
    </row>
    <row r="467" spans="1:30" x14ac:dyDescent="0.25">
      <c r="A467">
        <v>466</v>
      </c>
      <c r="B467" t="s">
        <v>17</v>
      </c>
      <c r="C467" s="3">
        <v>29233</v>
      </c>
      <c r="D467" s="2">
        <f ca="1">DATEDIF(gym_membership[[#This Row],[birthday]],TODAY(),"y")</f>
        <v>46</v>
      </c>
      <c r="E467">
        <v>44</v>
      </c>
      <c r="F467" t="s">
        <v>18</v>
      </c>
      <c r="G467">
        <v>3</v>
      </c>
      <c r="H467" t="s">
        <v>164</v>
      </c>
      <c r="I467" t="s">
        <v>34</v>
      </c>
      <c r="J467" t="s">
        <v>26</v>
      </c>
      <c r="K467" t="s">
        <v>95</v>
      </c>
      <c r="N467" t="b">
        <v>0</v>
      </c>
      <c r="O467" t="s">
        <v>21</v>
      </c>
      <c r="S467" s="1">
        <v>0.74097222222222225</v>
      </c>
      <c r="T467" s="1">
        <v>0.77083333333333337</v>
      </c>
      <c r="U467">
        <v>43</v>
      </c>
      <c r="V467" t="b">
        <v>1</v>
      </c>
      <c r="W467" t="s">
        <v>76</v>
      </c>
      <c r="X467" t="s">
        <v>76</v>
      </c>
      <c r="Z467" t="b">
        <v>1</v>
      </c>
      <c r="AA467" t="s">
        <v>43</v>
      </c>
      <c r="AB467" t="b">
        <v>1</v>
      </c>
      <c r="AD467" s="2"/>
    </row>
    <row r="468" spans="1:30" x14ac:dyDescent="0.25">
      <c r="A468">
        <v>467</v>
      </c>
      <c r="B468" t="s">
        <v>25</v>
      </c>
      <c r="C468" s="3">
        <v>40205</v>
      </c>
      <c r="D468" s="2">
        <f ca="1">DATEDIF(gym_membership[[#This Row],[birthday]],TODAY(),"y")</f>
        <v>16</v>
      </c>
      <c r="E468">
        <v>14</v>
      </c>
      <c r="F468" t="s">
        <v>18</v>
      </c>
      <c r="G468">
        <v>5</v>
      </c>
      <c r="H468" t="s">
        <v>159</v>
      </c>
      <c r="I468" t="s">
        <v>26</v>
      </c>
      <c r="J468" t="s">
        <v>94</v>
      </c>
      <c r="K468" t="s">
        <v>95</v>
      </c>
      <c r="L468" t="s">
        <v>57</v>
      </c>
      <c r="M468" t="s">
        <v>77</v>
      </c>
      <c r="N468" t="b">
        <v>1</v>
      </c>
      <c r="O468" t="s">
        <v>231</v>
      </c>
      <c r="P468" t="s">
        <v>96</v>
      </c>
      <c r="Q468" t="s">
        <v>72</v>
      </c>
      <c r="S468" s="1">
        <v>0.35069444444444442</v>
      </c>
      <c r="T468" s="1">
        <v>0.42222222222222222</v>
      </c>
      <c r="U468">
        <v>103</v>
      </c>
      <c r="V468" t="b">
        <v>0</v>
      </c>
      <c r="W468" t="s">
        <v>21</v>
      </c>
      <c r="Z468" t="b">
        <v>1</v>
      </c>
      <c r="AA468" t="s">
        <v>29</v>
      </c>
      <c r="AB468" t="b">
        <v>1</v>
      </c>
      <c r="AD468" s="2"/>
    </row>
    <row r="469" spans="1:30" x14ac:dyDescent="0.25">
      <c r="A469">
        <v>468</v>
      </c>
      <c r="B469" t="s">
        <v>17</v>
      </c>
      <c r="C469" s="3">
        <v>30344</v>
      </c>
      <c r="D469" s="2">
        <f ca="1">DATEDIF(gym_membership[[#This Row],[birthday]],TODAY(),"y")</f>
        <v>43</v>
      </c>
      <c r="E469">
        <v>41</v>
      </c>
      <c r="F469" t="s">
        <v>18</v>
      </c>
      <c r="G469">
        <v>3</v>
      </c>
      <c r="H469" t="s">
        <v>55</v>
      </c>
      <c r="I469" t="s">
        <v>44</v>
      </c>
      <c r="J469" t="s">
        <v>26</v>
      </c>
      <c r="K469" t="s">
        <v>94</v>
      </c>
      <c r="N469" t="b">
        <v>0</v>
      </c>
      <c r="O469" t="s">
        <v>21</v>
      </c>
      <c r="S469" s="1">
        <v>0.41388888888888886</v>
      </c>
      <c r="T469" s="1">
        <v>0.48541666666666666</v>
      </c>
      <c r="U469">
        <v>103</v>
      </c>
      <c r="V469" t="b">
        <v>0</v>
      </c>
      <c r="W469" t="s">
        <v>21</v>
      </c>
      <c r="Z469" t="b">
        <v>1</v>
      </c>
      <c r="AA469" t="s">
        <v>24</v>
      </c>
      <c r="AB469" t="b">
        <v>1</v>
      </c>
      <c r="AD469" s="2"/>
    </row>
    <row r="470" spans="1:30" x14ac:dyDescent="0.25">
      <c r="A470">
        <v>469</v>
      </c>
      <c r="B470" t="s">
        <v>25</v>
      </c>
      <c r="C470" s="3">
        <v>33045</v>
      </c>
      <c r="D470" s="2">
        <f ca="1">DATEDIF(gym_membership[[#This Row],[birthday]],TODAY(),"y")</f>
        <v>36</v>
      </c>
      <c r="E470">
        <v>34</v>
      </c>
      <c r="F470" t="s">
        <v>18</v>
      </c>
      <c r="G470">
        <v>2</v>
      </c>
      <c r="H470" t="s">
        <v>89</v>
      </c>
      <c r="I470" t="s">
        <v>26</v>
      </c>
      <c r="J470" t="s">
        <v>95</v>
      </c>
      <c r="N470" t="b">
        <v>1</v>
      </c>
      <c r="O470" t="s">
        <v>91</v>
      </c>
      <c r="P470" t="s">
        <v>91</v>
      </c>
      <c r="S470" s="1">
        <v>0.56874999999999998</v>
      </c>
      <c r="T470" s="1">
        <v>0.6069444444444444</v>
      </c>
      <c r="U470">
        <v>55</v>
      </c>
      <c r="V470" t="b">
        <v>0</v>
      </c>
      <c r="W470" t="s">
        <v>21</v>
      </c>
      <c r="Z470" t="b">
        <v>1</v>
      </c>
      <c r="AA470" t="s">
        <v>43</v>
      </c>
      <c r="AB470" t="b">
        <v>0</v>
      </c>
      <c r="AD470" s="2"/>
    </row>
    <row r="471" spans="1:30" x14ac:dyDescent="0.25">
      <c r="A471">
        <v>470</v>
      </c>
      <c r="B471" t="s">
        <v>25</v>
      </c>
      <c r="C471" s="3">
        <v>36075</v>
      </c>
      <c r="D471" s="2">
        <f ca="1">DATEDIF(gym_membership[[#This Row],[birthday]],TODAY(),"y")</f>
        <v>27</v>
      </c>
      <c r="E471">
        <v>26</v>
      </c>
      <c r="F471" t="s">
        <v>18</v>
      </c>
      <c r="G471">
        <v>1</v>
      </c>
      <c r="H471" t="s">
        <v>44</v>
      </c>
      <c r="I471" t="s">
        <v>44</v>
      </c>
      <c r="N471" t="b">
        <v>1</v>
      </c>
      <c r="O471" t="s">
        <v>58</v>
      </c>
      <c r="P471" t="s">
        <v>58</v>
      </c>
      <c r="S471" s="1">
        <v>0.53125</v>
      </c>
      <c r="T471" s="1">
        <v>0.58958333333333335</v>
      </c>
      <c r="U471">
        <v>84</v>
      </c>
      <c r="V471" t="b">
        <v>1</v>
      </c>
      <c r="W471" t="s">
        <v>304</v>
      </c>
      <c r="X471" t="s">
        <v>51</v>
      </c>
      <c r="Y471" t="s">
        <v>59</v>
      </c>
      <c r="Z471" t="b">
        <v>1</v>
      </c>
      <c r="AA471" t="s">
        <v>24</v>
      </c>
      <c r="AB471" t="b">
        <v>1</v>
      </c>
      <c r="AD471" s="2"/>
    </row>
    <row r="472" spans="1:30" x14ac:dyDescent="0.25">
      <c r="A472">
        <v>471</v>
      </c>
      <c r="B472" t="s">
        <v>17</v>
      </c>
      <c r="C472" s="3">
        <v>27873</v>
      </c>
      <c r="D472" s="2">
        <f ca="1">DATEDIF(gym_membership[[#This Row],[birthday]],TODAY(),"y")</f>
        <v>50</v>
      </c>
      <c r="E472">
        <v>48</v>
      </c>
      <c r="F472" t="s">
        <v>22</v>
      </c>
      <c r="G472">
        <v>1</v>
      </c>
      <c r="H472" t="s">
        <v>44</v>
      </c>
      <c r="I472" t="s">
        <v>44</v>
      </c>
      <c r="N472" t="b">
        <v>0</v>
      </c>
      <c r="O472" t="s">
        <v>21</v>
      </c>
      <c r="S472" s="1">
        <v>0.44583333333333336</v>
      </c>
      <c r="T472" s="1">
        <v>0.49791666666666667</v>
      </c>
      <c r="U472">
        <v>75</v>
      </c>
      <c r="V472" t="b">
        <v>1</v>
      </c>
      <c r="W472" t="s">
        <v>65</v>
      </c>
      <c r="X472" t="s">
        <v>65</v>
      </c>
      <c r="Z472" t="b">
        <v>1</v>
      </c>
      <c r="AA472" t="s">
        <v>24</v>
      </c>
      <c r="AB472" t="b">
        <v>1</v>
      </c>
      <c r="AD472" s="2"/>
    </row>
    <row r="473" spans="1:30" x14ac:dyDescent="0.25">
      <c r="A473">
        <v>472</v>
      </c>
      <c r="B473" t="s">
        <v>25</v>
      </c>
      <c r="C473" s="3">
        <v>28857</v>
      </c>
      <c r="D473" s="2">
        <f ca="1">DATEDIF(gym_membership[[#This Row],[birthday]],TODAY(),"y")</f>
        <v>47</v>
      </c>
      <c r="E473">
        <v>45</v>
      </c>
      <c r="F473" t="s">
        <v>22</v>
      </c>
      <c r="G473">
        <v>1</v>
      </c>
      <c r="H473" t="s">
        <v>34</v>
      </c>
      <c r="I473" t="s">
        <v>34</v>
      </c>
      <c r="N473" t="b">
        <v>1</v>
      </c>
      <c r="O473" t="s">
        <v>314</v>
      </c>
      <c r="P473" t="s">
        <v>128</v>
      </c>
      <c r="Q473" t="s">
        <v>91</v>
      </c>
      <c r="S473" s="1">
        <v>0.39652777777777776</v>
      </c>
      <c r="T473" s="1">
        <v>0.44583333333333336</v>
      </c>
      <c r="U473">
        <v>71</v>
      </c>
      <c r="V473" t="b">
        <v>1</v>
      </c>
      <c r="W473" t="s">
        <v>42</v>
      </c>
      <c r="X473" t="s">
        <v>59</v>
      </c>
      <c r="Y473" t="s">
        <v>65</v>
      </c>
      <c r="Z473" t="b">
        <v>0</v>
      </c>
      <c r="AA473" t="s">
        <v>456</v>
      </c>
      <c r="AB473" t="b">
        <v>1</v>
      </c>
      <c r="AD473" s="2"/>
    </row>
    <row r="474" spans="1:30" x14ac:dyDescent="0.25">
      <c r="A474">
        <v>473</v>
      </c>
      <c r="B474" t="s">
        <v>25</v>
      </c>
      <c r="C474" s="3">
        <v>37943</v>
      </c>
      <c r="D474" s="2">
        <f ca="1">DATEDIF(gym_membership[[#This Row],[birthday]],TODAY(),"y")</f>
        <v>22</v>
      </c>
      <c r="E474">
        <v>20</v>
      </c>
      <c r="F474" t="s">
        <v>22</v>
      </c>
      <c r="G474">
        <v>4</v>
      </c>
      <c r="H474" t="s">
        <v>19</v>
      </c>
      <c r="I474" t="s">
        <v>34</v>
      </c>
      <c r="J474" t="s">
        <v>26</v>
      </c>
      <c r="K474" t="s">
        <v>57</v>
      </c>
      <c r="L474" t="s">
        <v>77</v>
      </c>
      <c r="N474" t="b">
        <v>1</v>
      </c>
      <c r="O474" t="s">
        <v>208</v>
      </c>
      <c r="P474" t="s">
        <v>128</v>
      </c>
      <c r="Q474" t="s">
        <v>67</v>
      </c>
      <c r="S474" s="1">
        <v>0.40694444444444444</v>
      </c>
      <c r="T474" s="1">
        <v>0.49652777777777779</v>
      </c>
      <c r="U474">
        <v>129</v>
      </c>
      <c r="V474" t="b">
        <v>0</v>
      </c>
      <c r="W474" t="s">
        <v>21</v>
      </c>
      <c r="Z474" t="b">
        <v>1</v>
      </c>
      <c r="AA474" t="s">
        <v>29</v>
      </c>
      <c r="AB474" t="b">
        <v>0</v>
      </c>
      <c r="AD474" s="2"/>
    </row>
    <row r="475" spans="1:30" x14ac:dyDescent="0.25">
      <c r="A475">
        <v>474</v>
      </c>
      <c r="B475" t="s">
        <v>25</v>
      </c>
      <c r="C475" s="3">
        <v>33453</v>
      </c>
      <c r="D475" s="2">
        <f ca="1">DATEDIF(gym_membership[[#This Row],[birthday]],TODAY(),"y")</f>
        <v>35</v>
      </c>
      <c r="E475">
        <v>33</v>
      </c>
      <c r="F475" t="s">
        <v>22</v>
      </c>
      <c r="G475">
        <v>3</v>
      </c>
      <c r="H475" t="s">
        <v>149</v>
      </c>
      <c r="I475" t="s">
        <v>26</v>
      </c>
      <c r="J475" t="s">
        <v>94</v>
      </c>
      <c r="K475" t="s">
        <v>77</v>
      </c>
      <c r="N475" t="b">
        <v>1</v>
      </c>
      <c r="O475" t="s">
        <v>315</v>
      </c>
      <c r="P475" t="s">
        <v>96</v>
      </c>
      <c r="Q475" t="s">
        <v>120</v>
      </c>
      <c r="R475" t="s">
        <v>67</v>
      </c>
      <c r="S475" s="1">
        <v>0.70763888888888893</v>
      </c>
      <c r="T475" s="1">
        <v>0.77152777777777781</v>
      </c>
      <c r="U475">
        <v>92</v>
      </c>
      <c r="V475" t="b">
        <v>1</v>
      </c>
      <c r="W475" t="s">
        <v>59</v>
      </c>
      <c r="X475" t="s">
        <v>59</v>
      </c>
      <c r="Z475" t="b">
        <v>1</v>
      </c>
      <c r="AA475" t="s">
        <v>43</v>
      </c>
      <c r="AB475" t="b">
        <v>0</v>
      </c>
      <c r="AD475" s="2"/>
    </row>
    <row r="476" spans="1:30" x14ac:dyDescent="0.25">
      <c r="A476">
        <v>475</v>
      </c>
      <c r="B476" t="s">
        <v>25</v>
      </c>
      <c r="C476" s="3">
        <v>36985</v>
      </c>
      <c r="D476" s="2">
        <f ca="1">DATEDIF(gym_membership[[#This Row],[birthday]],TODAY(),"y")</f>
        <v>25</v>
      </c>
      <c r="E476">
        <v>23</v>
      </c>
      <c r="F476" t="s">
        <v>22</v>
      </c>
      <c r="G476">
        <v>2</v>
      </c>
      <c r="H476" t="s">
        <v>89</v>
      </c>
      <c r="I476" t="s">
        <v>26</v>
      </c>
      <c r="J476" t="s">
        <v>95</v>
      </c>
      <c r="N476" t="b">
        <v>0</v>
      </c>
      <c r="O476" t="s">
        <v>21</v>
      </c>
      <c r="S476" s="1">
        <v>0.49722222222222223</v>
      </c>
      <c r="T476" s="1">
        <v>0.5708333333333333</v>
      </c>
      <c r="U476">
        <v>106</v>
      </c>
      <c r="V476" t="b">
        <v>0</v>
      </c>
      <c r="W476" t="s">
        <v>21</v>
      </c>
      <c r="Z476" t="b">
        <v>1</v>
      </c>
      <c r="AA476" t="s">
        <v>43</v>
      </c>
      <c r="AB476" t="b">
        <v>1</v>
      </c>
      <c r="AD476" s="2"/>
    </row>
    <row r="477" spans="1:30" x14ac:dyDescent="0.25">
      <c r="A477">
        <v>476</v>
      </c>
      <c r="B477" t="s">
        <v>25</v>
      </c>
      <c r="C477" s="3">
        <v>37081</v>
      </c>
      <c r="D477" s="2">
        <f ca="1">DATEDIF(gym_membership[[#This Row],[birthday]],TODAY(),"y")</f>
        <v>25</v>
      </c>
      <c r="E477">
        <v>23</v>
      </c>
      <c r="F477" t="s">
        <v>22</v>
      </c>
      <c r="G477">
        <v>2</v>
      </c>
      <c r="H477" t="s">
        <v>98</v>
      </c>
      <c r="I477" t="s">
        <v>57</v>
      </c>
      <c r="J477" t="s">
        <v>77</v>
      </c>
      <c r="N477" t="b">
        <v>1</v>
      </c>
      <c r="O477" t="s">
        <v>316</v>
      </c>
      <c r="P477" t="s">
        <v>27</v>
      </c>
      <c r="Q477" t="s">
        <v>120</v>
      </c>
      <c r="S477" s="1">
        <v>0.73402777777777772</v>
      </c>
      <c r="T477" s="1">
        <v>0.83125000000000004</v>
      </c>
      <c r="U477">
        <v>140</v>
      </c>
      <c r="V477" t="b">
        <v>1</v>
      </c>
      <c r="W477" t="s">
        <v>59</v>
      </c>
      <c r="X477" t="s">
        <v>59</v>
      </c>
      <c r="Z477" t="b">
        <v>1</v>
      </c>
      <c r="AA477" t="s">
        <v>29</v>
      </c>
      <c r="AB477" t="b">
        <v>1</v>
      </c>
      <c r="AD477" s="2"/>
    </row>
    <row r="478" spans="1:30" x14ac:dyDescent="0.25">
      <c r="A478">
        <v>477</v>
      </c>
      <c r="B478" t="s">
        <v>17</v>
      </c>
      <c r="C478" s="3">
        <v>37324</v>
      </c>
      <c r="D478" s="2">
        <f ca="1">DATEDIF(gym_membership[[#This Row],[birthday]],TODAY(),"y")</f>
        <v>24</v>
      </c>
      <c r="E478">
        <v>22</v>
      </c>
      <c r="F478" t="s">
        <v>18</v>
      </c>
      <c r="G478">
        <v>1</v>
      </c>
      <c r="H478" t="s">
        <v>95</v>
      </c>
      <c r="I478" t="s">
        <v>95</v>
      </c>
      <c r="N478" t="b">
        <v>0</v>
      </c>
      <c r="O478" t="s">
        <v>21</v>
      </c>
      <c r="S478" s="1">
        <v>0.40486111111111112</v>
      </c>
      <c r="T478" s="1">
        <v>0.44236111111111109</v>
      </c>
      <c r="U478">
        <v>54</v>
      </c>
      <c r="V478" t="b">
        <v>1</v>
      </c>
      <c r="W478" t="s">
        <v>76</v>
      </c>
      <c r="X478" t="s">
        <v>76</v>
      </c>
      <c r="Z478" t="b">
        <v>0</v>
      </c>
      <c r="AA478" t="s">
        <v>456</v>
      </c>
      <c r="AB478" t="b">
        <v>0</v>
      </c>
      <c r="AD478" s="2"/>
    </row>
    <row r="479" spans="1:30" x14ac:dyDescent="0.25">
      <c r="A479">
        <v>478</v>
      </c>
      <c r="B479" t="s">
        <v>17</v>
      </c>
      <c r="C479" s="3">
        <v>29525</v>
      </c>
      <c r="D479" s="2">
        <f ca="1">DATEDIF(gym_membership[[#This Row],[birthday]],TODAY(),"y")</f>
        <v>45</v>
      </c>
      <c r="E479">
        <v>43</v>
      </c>
      <c r="F479" t="s">
        <v>22</v>
      </c>
      <c r="G479">
        <v>3</v>
      </c>
      <c r="H479" t="s">
        <v>274</v>
      </c>
      <c r="I479" t="s">
        <v>44</v>
      </c>
      <c r="J479" t="s">
        <v>34</v>
      </c>
      <c r="K479" t="s">
        <v>57</v>
      </c>
      <c r="N479" t="b">
        <v>0</v>
      </c>
      <c r="O479" t="s">
        <v>21</v>
      </c>
      <c r="S479" s="1">
        <v>0.49722222222222223</v>
      </c>
      <c r="T479" s="1">
        <v>0.52430555555555558</v>
      </c>
      <c r="U479">
        <v>39</v>
      </c>
      <c r="V479" t="b">
        <v>0</v>
      </c>
      <c r="W479" t="s">
        <v>21</v>
      </c>
      <c r="Z479" t="b">
        <v>1</v>
      </c>
      <c r="AA479" t="s">
        <v>29</v>
      </c>
      <c r="AB479" t="b">
        <v>1</v>
      </c>
      <c r="AD479" s="2"/>
    </row>
    <row r="480" spans="1:30" x14ac:dyDescent="0.25">
      <c r="A480">
        <v>479</v>
      </c>
      <c r="B480" t="s">
        <v>25</v>
      </c>
      <c r="C480" s="3">
        <v>40260</v>
      </c>
      <c r="D480" s="2">
        <f ca="1">DATEDIF(gym_membership[[#This Row],[birthday]],TODAY(),"y")</f>
        <v>16</v>
      </c>
      <c r="E480">
        <v>14</v>
      </c>
      <c r="F480" t="s">
        <v>18</v>
      </c>
      <c r="G480">
        <v>2</v>
      </c>
      <c r="H480" t="s">
        <v>126</v>
      </c>
      <c r="I480" t="s">
        <v>94</v>
      </c>
      <c r="J480" t="s">
        <v>57</v>
      </c>
      <c r="N480" t="b">
        <v>0</v>
      </c>
      <c r="O480" t="s">
        <v>21</v>
      </c>
      <c r="S480" s="1">
        <v>0.51597222222222228</v>
      </c>
      <c r="T480" s="1">
        <v>0.61388888888888893</v>
      </c>
      <c r="U480">
        <v>141</v>
      </c>
      <c r="V480" t="b">
        <v>1</v>
      </c>
      <c r="W480" t="s">
        <v>76</v>
      </c>
      <c r="X480" t="s">
        <v>76</v>
      </c>
      <c r="Z480" t="b">
        <v>1</v>
      </c>
      <c r="AA480" t="s">
        <v>24</v>
      </c>
      <c r="AB480" t="b">
        <v>1</v>
      </c>
      <c r="AD480" s="2"/>
    </row>
    <row r="481" spans="1:30" x14ac:dyDescent="0.25">
      <c r="A481">
        <v>480</v>
      </c>
      <c r="B481" t="s">
        <v>25</v>
      </c>
      <c r="C481" s="3">
        <v>36732</v>
      </c>
      <c r="D481" s="2">
        <f ca="1">DATEDIF(gym_membership[[#This Row],[birthday]],TODAY(),"y")</f>
        <v>26</v>
      </c>
      <c r="E481">
        <v>24</v>
      </c>
      <c r="F481" t="s">
        <v>18</v>
      </c>
      <c r="G481">
        <v>2</v>
      </c>
      <c r="H481" t="s">
        <v>106</v>
      </c>
      <c r="I481" t="s">
        <v>26</v>
      </c>
      <c r="J481" t="s">
        <v>57</v>
      </c>
      <c r="N481" t="b">
        <v>1</v>
      </c>
      <c r="O481" t="s">
        <v>317</v>
      </c>
      <c r="P481" t="s">
        <v>72</v>
      </c>
      <c r="Q481" t="s">
        <v>91</v>
      </c>
      <c r="R481" t="s">
        <v>100</v>
      </c>
      <c r="S481" s="1">
        <v>0.49027777777777776</v>
      </c>
      <c r="T481" s="1">
        <v>0.61319444444444449</v>
      </c>
      <c r="U481">
        <v>177</v>
      </c>
      <c r="V481" t="b">
        <v>0</v>
      </c>
      <c r="W481" t="s">
        <v>21</v>
      </c>
      <c r="Z481" t="b">
        <v>0</v>
      </c>
      <c r="AA481" t="s">
        <v>456</v>
      </c>
      <c r="AB481" t="b">
        <v>1</v>
      </c>
      <c r="AD481" s="2"/>
    </row>
    <row r="482" spans="1:30" x14ac:dyDescent="0.25">
      <c r="A482">
        <v>481</v>
      </c>
      <c r="B482" t="s">
        <v>17</v>
      </c>
      <c r="C482" s="3">
        <v>28940</v>
      </c>
      <c r="D482" s="2">
        <f ca="1">DATEDIF(gym_membership[[#This Row],[birthday]],TODAY(),"y")</f>
        <v>47</v>
      </c>
      <c r="E482">
        <v>45</v>
      </c>
      <c r="F482" t="s">
        <v>22</v>
      </c>
      <c r="G482">
        <v>1</v>
      </c>
      <c r="H482" t="s">
        <v>94</v>
      </c>
      <c r="I482" t="s">
        <v>94</v>
      </c>
      <c r="N482" t="b">
        <v>0</v>
      </c>
      <c r="O482" t="s">
        <v>21</v>
      </c>
      <c r="S482" s="1">
        <v>0.86111111111111116</v>
      </c>
      <c r="T482" s="1">
        <v>0.96805555555555556</v>
      </c>
      <c r="U482">
        <v>154</v>
      </c>
      <c r="V482" t="b">
        <v>1</v>
      </c>
      <c r="W482" t="s">
        <v>76</v>
      </c>
      <c r="X482" t="s">
        <v>76</v>
      </c>
      <c r="Z482" t="b">
        <v>0</v>
      </c>
      <c r="AA482" t="s">
        <v>456</v>
      </c>
      <c r="AB482" t="b">
        <v>0</v>
      </c>
      <c r="AD482" s="2"/>
    </row>
    <row r="483" spans="1:30" x14ac:dyDescent="0.25">
      <c r="A483">
        <v>482</v>
      </c>
      <c r="B483" t="s">
        <v>25</v>
      </c>
      <c r="C483" s="3">
        <v>38560</v>
      </c>
      <c r="D483" s="2">
        <f ca="1">DATEDIF(gym_membership[[#This Row],[birthday]],TODAY(),"y")</f>
        <v>21</v>
      </c>
      <c r="E483">
        <v>19</v>
      </c>
      <c r="F483" t="s">
        <v>18</v>
      </c>
      <c r="G483">
        <v>2</v>
      </c>
      <c r="H483" t="s">
        <v>119</v>
      </c>
      <c r="I483" t="s">
        <v>44</v>
      </c>
      <c r="J483" t="s">
        <v>57</v>
      </c>
      <c r="N483" t="b">
        <v>1</v>
      </c>
      <c r="O483" t="s">
        <v>91</v>
      </c>
      <c r="P483" t="s">
        <v>91</v>
      </c>
      <c r="S483" s="1">
        <v>0.53472222222222221</v>
      </c>
      <c r="T483" s="1">
        <v>0.62222222222222223</v>
      </c>
      <c r="U483">
        <v>126</v>
      </c>
      <c r="V483" t="b">
        <v>1</v>
      </c>
      <c r="W483" t="s">
        <v>31</v>
      </c>
      <c r="X483" t="s">
        <v>31</v>
      </c>
      <c r="Z483" t="b">
        <v>0</v>
      </c>
      <c r="AA483" t="s">
        <v>456</v>
      </c>
      <c r="AB483" t="b">
        <v>0</v>
      </c>
      <c r="AD483" s="2"/>
    </row>
    <row r="484" spans="1:30" x14ac:dyDescent="0.25">
      <c r="A484">
        <v>483</v>
      </c>
      <c r="B484" t="s">
        <v>17</v>
      </c>
      <c r="C484" s="3">
        <v>35871</v>
      </c>
      <c r="D484" s="2">
        <f ca="1">DATEDIF(gym_membership[[#This Row],[birthday]],TODAY(),"y")</f>
        <v>28</v>
      </c>
      <c r="E484">
        <v>26</v>
      </c>
      <c r="F484" t="s">
        <v>18</v>
      </c>
      <c r="G484">
        <v>3</v>
      </c>
      <c r="H484" t="s">
        <v>46</v>
      </c>
      <c r="I484" t="s">
        <v>44</v>
      </c>
      <c r="J484" t="s">
        <v>95</v>
      </c>
      <c r="K484" t="s">
        <v>77</v>
      </c>
      <c r="N484" t="b">
        <v>1</v>
      </c>
      <c r="O484" t="s">
        <v>318</v>
      </c>
      <c r="P484" t="s">
        <v>96</v>
      </c>
      <c r="Q484" t="s">
        <v>27</v>
      </c>
      <c r="S484" s="1">
        <v>0.77847222222222223</v>
      </c>
      <c r="T484" s="1">
        <v>0.875</v>
      </c>
      <c r="U484">
        <v>139</v>
      </c>
      <c r="V484" t="b">
        <v>1</v>
      </c>
      <c r="W484" t="s">
        <v>203</v>
      </c>
      <c r="X484" t="s">
        <v>51</v>
      </c>
      <c r="Y484" t="s">
        <v>39</v>
      </c>
      <c r="Z484" t="b">
        <v>1</v>
      </c>
      <c r="AA484" t="s">
        <v>29</v>
      </c>
      <c r="AB484" t="b">
        <v>1</v>
      </c>
      <c r="AD484" s="2"/>
    </row>
    <row r="485" spans="1:30" x14ac:dyDescent="0.25">
      <c r="A485">
        <v>484</v>
      </c>
      <c r="B485" t="s">
        <v>25</v>
      </c>
      <c r="C485" s="3">
        <v>35188</v>
      </c>
      <c r="D485" s="2">
        <f ca="1">DATEDIF(gym_membership[[#This Row],[birthday]],TODAY(),"y")</f>
        <v>30</v>
      </c>
      <c r="E485">
        <v>28</v>
      </c>
      <c r="F485" t="s">
        <v>22</v>
      </c>
      <c r="G485">
        <v>2</v>
      </c>
      <c r="H485" t="s">
        <v>119</v>
      </c>
      <c r="I485" t="s">
        <v>44</v>
      </c>
      <c r="J485" t="s">
        <v>57</v>
      </c>
      <c r="N485" t="b">
        <v>0</v>
      </c>
      <c r="O485" t="s">
        <v>21</v>
      </c>
      <c r="S485" s="1">
        <v>0.59166666666666667</v>
      </c>
      <c r="T485" s="1">
        <v>0.6430555555555556</v>
      </c>
      <c r="U485">
        <v>74</v>
      </c>
      <c r="V485" t="b">
        <v>1</v>
      </c>
      <c r="W485" t="s">
        <v>68</v>
      </c>
      <c r="X485" t="s">
        <v>31</v>
      </c>
      <c r="Y485" t="s">
        <v>59</v>
      </c>
      <c r="Z485" t="b">
        <v>0</v>
      </c>
      <c r="AA485" t="s">
        <v>456</v>
      </c>
      <c r="AB485" t="b">
        <v>0</v>
      </c>
      <c r="AD485" s="2"/>
    </row>
    <row r="486" spans="1:30" x14ac:dyDescent="0.25">
      <c r="A486">
        <v>485</v>
      </c>
      <c r="B486" t="s">
        <v>25</v>
      </c>
      <c r="C486" s="3">
        <v>28945</v>
      </c>
      <c r="D486" s="2">
        <f ca="1">DATEDIF(gym_membership[[#This Row],[birthday]],TODAY(),"y")</f>
        <v>47</v>
      </c>
      <c r="E486">
        <v>45</v>
      </c>
      <c r="F486" t="s">
        <v>22</v>
      </c>
      <c r="G486">
        <v>1</v>
      </c>
      <c r="H486" t="s">
        <v>34</v>
      </c>
      <c r="I486" t="s">
        <v>34</v>
      </c>
      <c r="N486" t="b">
        <v>1</v>
      </c>
      <c r="O486" t="s">
        <v>103</v>
      </c>
      <c r="P486" t="s">
        <v>103</v>
      </c>
      <c r="S486" s="1">
        <v>0.75486111111111109</v>
      </c>
      <c r="T486" s="1">
        <v>0.8208333333333333</v>
      </c>
      <c r="U486">
        <v>95</v>
      </c>
      <c r="V486" t="b">
        <v>0</v>
      </c>
      <c r="W486" t="s">
        <v>21</v>
      </c>
      <c r="Z486" t="b">
        <v>0</v>
      </c>
      <c r="AA486" t="s">
        <v>456</v>
      </c>
      <c r="AB486" t="b">
        <v>0</v>
      </c>
      <c r="AD486" s="2"/>
    </row>
    <row r="487" spans="1:30" x14ac:dyDescent="0.25">
      <c r="A487">
        <v>486</v>
      </c>
      <c r="B487" t="s">
        <v>25</v>
      </c>
      <c r="C487" s="3">
        <v>27653</v>
      </c>
      <c r="D487" s="2">
        <f ca="1">DATEDIF(gym_membership[[#This Row],[birthday]],TODAY(),"y")</f>
        <v>50</v>
      </c>
      <c r="E487">
        <v>49</v>
      </c>
      <c r="F487" t="s">
        <v>22</v>
      </c>
      <c r="G487">
        <v>3</v>
      </c>
      <c r="H487" t="s">
        <v>101</v>
      </c>
      <c r="I487" t="s">
        <v>94</v>
      </c>
      <c r="J487" t="s">
        <v>57</v>
      </c>
      <c r="K487" t="s">
        <v>77</v>
      </c>
      <c r="N487" t="b">
        <v>1</v>
      </c>
      <c r="O487" t="s">
        <v>58</v>
      </c>
      <c r="P487" t="s">
        <v>58</v>
      </c>
      <c r="S487" s="1">
        <v>0.71527777777777779</v>
      </c>
      <c r="T487" s="1">
        <v>0.75208333333333333</v>
      </c>
      <c r="U487">
        <v>53</v>
      </c>
      <c r="V487" t="b">
        <v>1</v>
      </c>
      <c r="W487" t="s">
        <v>80</v>
      </c>
      <c r="X487" t="s">
        <v>59</v>
      </c>
      <c r="Y487" t="s">
        <v>39</v>
      </c>
      <c r="Z487" t="b">
        <v>1</v>
      </c>
      <c r="AA487" t="s">
        <v>29</v>
      </c>
      <c r="AB487" t="b">
        <v>1</v>
      </c>
      <c r="AD487" s="2"/>
    </row>
    <row r="488" spans="1:30" x14ac:dyDescent="0.25">
      <c r="A488">
        <v>487</v>
      </c>
      <c r="B488" t="s">
        <v>17</v>
      </c>
      <c r="C488" s="3">
        <v>35848</v>
      </c>
      <c r="D488" s="2">
        <f ca="1">DATEDIF(gym_membership[[#This Row],[birthday]],TODAY(),"y")</f>
        <v>28</v>
      </c>
      <c r="E488">
        <v>26</v>
      </c>
      <c r="F488" t="s">
        <v>22</v>
      </c>
      <c r="G488">
        <v>2</v>
      </c>
      <c r="H488" t="s">
        <v>60</v>
      </c>
      <c r="I488" t="s">
        <v>26</v>
      </c>
      <c r="J488" t="s">
        <v>77</v>
      </c>
      <c r="N488" t="b">
        <v>1</v>
      </c>
      <c r="O488" t="s">
        <v>319</v>
      </c>
      <c r="P488" t="s">
        <v>96</v>
      </c>
      <c r="Q488" t="s">
        <v>91</v>
      </c>
      <c r="R488" t="s">
        <v>41</v>
      </c>
      <c r="S488" s="1">
        <v>0.65555555555555556</v>
      </c>
      <c r="T488" s="1">
        <v>0.76180555555555551</v>
      </c>
      <c r="U488">
        <v>153</v>
      </c>
      <c r="V488" t="b">
        <v>0</v>
      </c>
      <c r="W488" t="s">
        <v>21</v>
      </c>
      <c r="Z488" t="b">
        <v>1</v>
      </c>
      <c r="AA488" t="s">
        <v>24</v>
      </c>
      <c r="AB488" t="b">
        <v>1</v>
      </c>
      <c r="AD488" s="2"/>
    </row>
    <row r="489" spans="1:30" x14ac:dyDescent="0.25">
      <c r="A489">
        <v>488</v>
      </c>
      <c r="B489" t="s">
        <v>25</v>
      </c>
      <c r="C489" s="3">
        <v>29701</v>
      </c>
      <c r="D489" s="2">
        <f ca="1">DATEDIF(gym_membership[[#This Row],[birthday]],TODAY(),"y")</f>
        <v>45</v>
      </c>
      <c r="E489">
        <v>43</v>
      </c>
      <c r="F489" t="s">
        <v>18</v>
      </c>
      <c r="G489">
        <v>5</v>
      </c>
      <c r="H489" t="s">
        <v>168</v>
      </c>
      <c r="I489" t="s">
        <v>44</v>
      </c>
      <c r="J489" t="s">
        <v>34</v>
      </c>
      <c r="K489" t="s">
        <v>26</v>
      </c>
      <c r="L489" t="s">
        <v>95</v>
      </c>
      <c r="M489" t="s">
        <v>77</v>
      </c>
      <c r="N489" t="b">
        <v>0</v>
      </c>
      <c r="O489" t="s">
        <v>21</v>
      </c>
      <c r="S489" s="1">
        <v>0.74444444444444446</v>
      </c>
      <c r="T489" s="1">
        <v>0.86944444444444446</v>
      </c>
      <c r="U489">
        <v>180</v>
      </c>
      <c r="V489" t="b">
        <v>0</v>
      </c>
      <c r="W489" t="s">
        <v>21</v>
      </c>
      <c r="Z489" t="b">
        <v>1</v>
      </c>
      <c r="AA489" t="s">
        <v>29</v>
      </c>
      <c r="AB489" t="b">
        <v>0</v>
      </c>
      <c r="AD489" s="2"/>
    </row>
    <row r="490" spans="1:30" x14ac:dyDescent="0.25">
      <c r="A490">
        <v>489</v>
      </c>
      <c r="B490" t="s">
        <v>25</v>
      </c>
      <c r="C490" s="3">
        <v>33519</v>
      </c>
      <c r="D490" s="2">
        <f ca="1">DATEDIF(gym_membership[[#This Row],[birthday]],TODAY(),"y")</f>
        <v>34</v>
      </c>
      <c r="E490">
        <v>33</v>
      </c>
      <c r="F490" t="s">
        <v>18</v>
      </c>
      <c r="G490">
        <v>2</v>
      </c>
      <c r="H490" t="s">
        <v>126</v>
      </c>
      <c r="I490" t="s">
        <v>94</v>
      </c>
      <c r="J490" t="s">
        <v>57</v>
      </c>
      <c r="N490" t="b">
        <v>0</v>
      </c>
      <c r="O490" t="s">
        <v>21</v>
      </c>
      <c r="S490" s="1">
        <v>0.52916666666666667</v>
      </c>
      <c r="T490" s="1">
        <v>0.62569444444444444</v>
      </c>
      <c r="U490">
        <v>139</v>
      </c>
      <c r="V490" t="b">
        <v>1</v>
      </c>
      <c r="W490" t="s">
        <v>76</v>
      </c>
      <c r="X490" t="s">
        <v>76</v>
      </c>
      <c r="Z490" t="b">
        <v>1</v>
      </c>
      <c r="AA490" t="s">
        <v>29</v>
      </c>
      <c r="AB490" t="b">
        <v>0</v>
      </c>
      <c r="AD490" s="2"/>
    </row>
    <row r="491" spans="1:30" x14ac:dyDescent="0.25">
      <c r="A491">
        <v>490</v>
      </c>
      <c r="B491" t="s">
        <v>17</v>
      </c>
      <c r="C491" s="3">
        <v>35230</v>
      </c>
      <c r="D491" s="2">
        <f ca="1">DATEDIF(gym_membership[[#This Row],[birthday]],TODAY(),"y")</f>
        <v>30</v>
      </c>
      <c r="E491">
        <v>28</v>
      </c>
      <c r="F491" t="s">
        <v>22</v>
      </c>
      <c r="G491">
        <v>3</v>
      </c>
      <c r="H491" t="s">
        <v>116</v>
      </c>
      <c r="I491" t="s">
        <v>44</v>
      </c>
      <c r="J491" t="s">
        <v>94</v>
      </c>
      <c r="K491" t="s">
        <v>57</v>
      </c>
      <c r="N491" t="b">
        <v>0</v>
      </c>
      <c r="O491" t="s">
        <v>21</v>
      </c>
      <c r="S491" s="1">
        <v>0.41319444444444442</v>
      </c>
      <c r="T491" s="1">
        <v>0.4548611111111111</v>
      </c>
      <c r="U491">
        <v>60</v>
      </c>
      <c r="V491" t="b">
        <v>0</v>
      </c>
      <c r="W491" t="s">
        <v>21</v>
      </c>
      <c r="Z491" t="b">
        <v>1</v>
      </c>
      <c r="AA491" t="s">
        <v>24</v>
      </c>
      <c r="AB491" t="b">
        <v>0</v>
      </c>
      <c r="AD491" s="2"/>
    </row>
    <row r="492" spans="1:30" x14ac:dyDescent="0.25">
      <c r="A492">
        <v>491</v>
      </c>
      <c r="B492" t="s">
        <v>17</v>
      </c>
      <c r="C492" s="3">
        <v>27593</v>
      </c>
      <c r="D492" s="2">
        <f ca="1">DATEDIF(gym_membership[[#This Row],[birthday]],TODAY(),"y")</f>
        <v>51</v>
      </c>
      <c r="E492">
        <v>49</v>
      </c>
      <c r="F492" t="s">
        <v>18</v>
      </c>
      <c r="G492">
        <v>1</v>
      </c>
      <c r="H492" t="s">
        <v>44</v>
      </c>
      <c r="I492" t="s">
        <v>44</v>
      </c>
      <c r="N492" t="b">
        <v>1</v>
      </c>
      <c r="O492" t="s">
        <v>128</v>
      </c>
      <c r="P492" t="s">
        <v>128</v>
      </c>
      <c r="S492" s="1">
        <v>0.33750000000000002</v>
      </c>
      <c r="T492" s="1">
        <v>0.44513888888888886</v>
      </c>
      <c r="U492">
        <v>155</v>
      </c>
      <c r="V492" t="b">
        <v>0</v>
      </c>
      <c r="W492" t="s">
        <v>21</v>
      </c>
      <c r="Z492" t="b">
        <v>1</v>
      </c>
      <c r="AA492" t="s">
        <v>43</v>
      </c>
      <c r="AB492" t="b">
        <v>0</v>
      </c>
      <c r="AD492" s="2"/>
    </row>
    <row r="493" spans="1:30" x14ac:dyDescent="0.25">
      <c r="A493">
        <v>492</v>
      </c>
      <c r="B493" t="s">
        <v>25</v>
      </c>
      <c r="C493" s="3">
        <v>39405</v>
      </c>
      <c r="D493" s="2">
        <f ca="1">DATEDIF(gym_membership[[#This Row],[birthday]],TODAY(),"y")</f>
        <v>18</v>
      </c>
      <c r="E493">
        <v>16</v>
      </c>
      <c r="F493" t="s">
        <v>22</v>
      </c>
      <c r="G493">
        <v>2</v>
      </c>
      <c r="H493" t="s">
        <v>228</v>
      </c>
      <c r="I493" t="s">
        <v>44</v>
      </c>
      <c r="J493" t="s">
        <v>95</v>
      </c>
      <c r="N493" t="b">
        <v>0</v>
      </c>
      <c r="O493" t="s">
        <v>21</v>
      </c>
      <c r="S493" s="1">
        <v>0.48819444444444443</v>
      </c>
      <c r="T493" s="1">
        <v>0.53611111111111109</v>
      </c>
      <c r="U493">
        <v>69</v>
      </c>
      <c r="V493" t="b">
        <v>0</v>
      </c>
      <c r="W493" t="s">
        <v>21</v>
      </c>
      <c r="Z493" t="b">
        <v>0</v>
      </c>
      <c r="AA493" t="s">
        <v>456</v>
      </c>
      <c r="AB493" t="b">
        <v>1</v>
      </c>
      <c r="AD493" s="2"/>
    </row>
    <row r="494" spans="1:30" x14ac:dyDescent="0.25">
      <c r="A494">
        <v>493</v>
      </c>
      <c r="B494" t="s">
        <v>17</v>
      </c>
      <c r="C494" s="3">
        <v>31001</v>
      </c>
      <c r="D494" s="2">
        <f ca="1">DATEDIF(gym_membership[[#This Row],[birthday]],TODAY(),"y")</f>
        <v>41</v>
      </c>
      <c r="E494">
        <v>39</v>
      </c>
      <c r="F494" t="s">
        <v>22</v>
      </c>
      <c r="G494">
        <v>2</v>
      </c>
      <c r="H494" t="s">
        <v>98</v>
      </c>
      <c r="I494" t="s">
        <v>57</v>
      </c>
      <c r="J494" t="s">
        <v>77</v>
      </c>
      <c r="N494" t="b">
        <v>1</v>
      </c>
      <c r="O494" t="s">
        <v>320</v>
      </c>
      <c r="P494" t="s">
        <v>103</v>
      </c>
      <c r="Q494" t="s">
        <v>41</v>
      </c>
      <c r="S494" s="1">
        <v>0.63472222222222219</v>
      </c>
      <c r="T494" s="1">
        <v>0.73541666666666672</v>
      </c>
      <c r="U494">
        <v>145</v>
      </c>
      <c r="V494" t="b">
        <v>1</v>
      </c>
      <c r="W494" t="s">
        <v>51</v>
      </c>
      <c r="X494" t="s">
        <v>51</v>
      </c>
      <c r="Z494" t="b">
        <v>0</v>
      </c>
      <c r="AA494" t="s">
        <v>456</v>
      </c>
      <c r="AB494" t="b">
        <v>0</v>
      </c>
      <c r="AD494" s="2"/>
    </row>
    <row r="495" spans="1:30" x14ac:dyDescent="0.25">
      <c r="A495">
        <v>494</v>
      </c>
      <c r="B495" t="s">
        <v>17</v>
      </c>
      <c r="C495" s="3">
        <v>41112</v>
      </c>
      <c r="D495" s="2">
        <f ca="1">DATEDIF(gym_membership[[#This Row],[birthday]],TODAY(),"y")</f>
        <v>14</v>
      </c>
      <c r="E495">
        <v>12</v>
      </c>
      <c r="F495" t="s">
        <v>22</v>
      </c>
      <c r="G495">
        <v>3</v>
      </c>
      <c r="H495" t="s">
        <v>35</v>
      </c>
      <c r="I495" t="s">
        <v>26</v>
      </c>
      <c r="J495" t="s">
        <v>95</v>
      </c>
      <c r="K495" t="s">
        <v>77</v>
      </c>
      <c r="N495" t="b">
        <v>1</v>
      </c>
      <c r="O495" t="s">
        <v>41</v>
      </c>
      <c r="P495" t="s">
        <v>41</v>
      </c>
      <c r="S495" s="1">
        <v>0.49305555555555558</v>
      </c>
      <c r="T495" s="1">
        <v>0.57152777777777775</v>
      </c>
      <c r="U495">
        <v>113</v>
      </c>
      <c r="V495" t="b">
        <v>1</v>
      </c>
      <c r="W495" t="s">
        <v>68</v>
      </c>
      <c r="X495" t="s">
        <v>31</v>
      </c>
      <c r="Y495" t="s">
        <v>59</v>
      </c>
      <c r="Z495" t="b">
        <v>0</v>
      </c>
      <c r="AA495" t="s">
        <v>456</v>
      </c>
      <c r="AB495" t="b">
        <v>1</v>
      </c>
      <c r="AD495" s="2"/>
    </row>
    <row r="496" spans="1:30" x14ac:dyDescent="0.25">
      <c r="A496">
        <v>495</v>
      </c>
      <c r="B496" t="s">
        <v>25</v>
      </c>
      <c r="C496" s="3">
        <v>30771</v>
      </c>
      <c r="D496" s="2">
        <f ca="1">DATEDIF(gym_membership[[#This Row],[birthday]],TODAY(),"y")</f>
        <v>42</v>
      </c>
      <c r="E496">
        <v>40</v>
      </c>
      <c r="F496" t="s">
        <v>22</v>
      </c>
      <c r="G496">
        <v>3</v>
      </c>
      <c r="H496" t="s">
        <v>214</v>
      </c>
      <c r="I496" t="s">
        <v>34</v>
      </c>
      <c r="J496" t="s">
        <v>26</v>
      </c>
      <c r="K496" t="s">
        <v>57</v>
      </c>
      <c r="N496" t="b">
        <v>0</v>
      </c>
      <c r="O496" t="s">
        <v>21</v>
      </c>
      <c r="S496" s="1">
        <v>0.36180555555555555</v>
      </c>
      <c r="T496" s="1">
        <v>0.39930555555555558</v>
      </c>
      <c r="U496">
        <v>54</v>
      </c>
      <c r="V496" t="b">
        <v>1</v>
      </c>
      <c r="W496" t="s">
        <v>191</v>
      </c>
      <c r="X496" t="s">
        <v>31</v>
      </c>
      <c r="Y496" t="s">
        <v>65</v>
      </c>
      <c r="Z496" t="b">
        <v>0</v>
      </c>
      <c r="AA496" t="s">
        <v>456</v>
      </c>
      <c r="AB496" t="b">
        <v>1</v>
      </c>
      <c r="AD496" s="2"/>
    </row>
    <row r="497" spans="1:30" x14ac:dyDescent="0.25">
      <c r="A497">
        <v>496</v>
      </c>
      <c r="B497" t="s">
        <v>25</v>
      </c>
      <c r="C497" s="3">
        <v>29192</v>
      </c>
      <c r="D497" s="2">
        <f ca="1">DATEDIF(gym_membership[[#This Row],[birthday]],TODAY(),"y")</f>
        <v>46</v>
      </c>
      <c r="E497">
        <v>44</v>
      </c>
      <c r="F497" t="s">
        <v>18</v>
      </c>
      <c r="G497">
        <v>1</v>
      </c>
      <c r="H497" t="s">
        <v>94</v>
      </c>
      <c r="I497" t="s">
        <v>94</v>
      </c>
      <c r="N497" t="b">
        <v>0</v>
      </c>
      <c r="O497" t="s">
        <v>21</v>
      </c>
      <c r="S497" s="1">
        <v>0.64861111111111114</v>
      </c>
      <c r="T497" s="1">
        <v>0.69513888888888886</v>
      </c>
      <c r="U497">
        <v>67</v>
      </c>
      <c r="V497" t="b">
        <v>1</v>
      </c>
      <c r="W497" t="s">
        <v>39</v>
      </c>
      <c r="X497" t="s">
        <v>39</v>
      </c>
      <c r="Z497" t="b">
        <v>1</v>
      </c>
      <c r="AA497" t="s">
        <v>43</v>
      </c>
      <c r="AB497" t="b">
        <v>0</v>
      </c>
      <c r="AD497" s="2"/>
    </row>
    <row r="498" spans="1:30" x14ac:dyDescent="0.25">
      <c r="A498">
        <v>497</v>
      </c>
      <c r="B498" t="s">
        <v>17</v>
      </c>
      <c r="C498" s="3">
        <v>41171</v>
      </c>
      <c r="D498" s="2">
        <f ca="1">DATEDIF(gym_membership[[#This Row],[birthday]],TODAY(),"y")</f>
        <v>13</v>
      </c>
      <c r="E498">
        <v>12</v>
      </c>
      <c r="F498" t="s">
        <v>18</v>
      </c>
      <c r="G498">
        <v>2</v>
      </c>
      <c r="H498" t="s">
        <v>140</v>
      </c>
      <c r="I498" t="s">
        <v>26</v>
      </c>
      <c r="J498" t="s">
        <v>94</v>
      </c>
      <c r="N498" t="b">
        <v>0</v>
      </c>
      <c r="O498" t="s">
        <v>21</v>
      </c>
      <c r="S498" s="1">
        <v>0.33680555555555558</v>
      </c>
      <c r="T498" s="1">
        <v>0.42638888888888887</v>
      </c>
      <c r="U498">
        <v>129</v>
      </c>
      <c r="V498" t="b">
        <v>0</v>
      </c>
      <c r="W498" t="s">
        <v>21</v>
      </c>
      <c r="Z498" t="b">
        <v>0</v>
      </c>
      <c r="AA498" t="s">
        <v>456</v>
      </c>
      <c r="AB498" t="b">
        <v>0</v>
      </c>
      <c r="AD498" s="2"/>
    </row>
    <row r="499" spans="1:30" x14ac:dyDescent="0.25">
      <c r="A499">
        <v>498</v>
      </c>
      <c r="B499" t="s">
        <v>25</v>
      </c>
      <c r="C499" s="3">
        <v>29805</v>
      </c>
      <c r="D499" s="2">
        <f ca="1">DATEDIF(gym_membership[[#This Row],[birthday]],TODAY(),"y")</f>
        <v>45</v>
      </c>
      <c r="E499">
        <v>43</v>
      </c>
      <c r="F499" t="s">
        <v>18</v>
      </c>
      <c r="G499">
        <v>4</v>
      </c>
      <c r="H499" t="s">
        <v>19</v>
      </c>
      <c r="I499" t="s">
        <v>34</v>
      </c>
      <c r="J499" t="s">
        <v>26</v>
      </c>
      <c r="K499" t="s">
        <v>57</v>
      </c>
      <c r="L499" t="s">
        <v>77</v>
      </c>
      <c r="N499" t="b">
        <v>1</v>
      </c>
      <c r="O499" t="s">
        <v>321</v>
      </c>
      <c r="P499" t="s">
        <v>96</v>
      </c>
      <c r="Q499" t="s">
        <v>100</v>
      </c>
      <c r="R499" t="s">
        <v>27</v>
      </c>
      <c r="S499" s="1">
        <v>0.44305555555555554</v>
      </c>
      <c r="T499" s="1">
        <v>0.48680555555555555</v>
      </c>
      <c r="U499">
        <v>63</v>
      </c>
      <c r="V499" t="b">
        <v>1</v>
      </c>
      <c r="W499" t="s">
        <v>59</v>
      </c>
      <c r="X499" t="s">
        <v>59</v>
      </c>
      <c r="Z499" t="b">
        <v>1</v>
      </c>
      <c r="AA499" t="s">
        <v>43</v>
      </c>
      <c r="AB499" t="b">
        <v>1</v>
      </c>
      <c r="AD499" s="2"/>
    </row>
    <row r="500" spans="1:30" x14ac:dyDescent="0.25">
      <c r="A500">
        <v>499</v>
      </c>
      <c r="B500" t="s">
        <v>17</v>
      </c>
      <c r="C500" s="3">
        <v>34964</v>
      </c>
      <c r="D500" s="2">
        <f ca="1">DATEDIF(gym_membership[[#This Row],[birthday]],TODAY(),"y")</f>
        <v>30</v>
      </c>
      <c r="E500">
        <v>29</v>
      </c>
      <c r="F500" t="s">
        <v>18</v>
      </c>
      <c r="G500">
        <v>3</v>
      </c>
      <c r="H500" t="s">
        <v>164</v>
      </c>
      <c r="I500" t="s">
        <v>34</v>
      </c>
      <c r="J500" t="s">
        <v>26</v>
      </c>
      <c r="K500" t="s">
        <v>95</v>
      </c>
      <c r="N500" t="b">
        <v>1</v>
      </c>
      <c r="O500" t="s">
        <v>87</v>
      </c>
      <c r="P500" t="s">
        <v>27</v>
      </c>
      <c r="Q500" t="s">
        <v>128</v>
      </c>
      <c r="R500" t="s">
        <v>96</v>
      </c>
      <c r="S500" s="1">
        <v>0.86319444444444449</v>
      </c>
      <c r="T500" s="1">
        <v>0.89097222222222228</v>
      </c>
      <c r="U500">
        <v>40</v>
      </c>
      <c r="V500" t="b">
        <v>1</v>
      </c>
      <c r="W500" t="s">
        <v>76</v>
      </c>
      <c r="X500" t="s">
        <v>76</v>
      </c>
      <c r="Z500" t="b">
        <v>0</v>
      </c>
      <c r="AA500" t="s">
        <v>456</v>
      </c>
      <c r="AB500" t="b">
        <v>0</v>
      </c>
      <c r="AD500" s="2"/>
    </row>
    <row r="501" spans="1:30" x14ac:dyDescent="0.25">
      <c r="A501">
        <v>500</v>
      </c>
      <c r="B501" t="s">
        <v>25</v>
      </c>
      <c r="C501" s="3">
        <v>38639</v>
      </c>
      <c r="D501" s="2">
        <f ca="1">DATEDIF(gym_membership[[#This Row],[birthday]],TODAY(),"y")</f>
        <v>20</v>
      </c>
      <c r="E501">
        <v>19</v>
      </c>
      <c r="F501" t="s">
        <v>22</v>
      </c>
      <c r="G501">
        <v>3</v>
      </c>
      <c r="H501" t="s">
        <v>122</v>
      </c>
      <c r="I501" t="s">
        <v>34</v>
      </c>
      <c r="J501" t="s">
        <v>94</v>
      </c>
      <c r="K501" t="s">
        <v>77</v>
      </c>
      <c r="N501" t="b">
        <v>0</v>
      </c>
      <c r="O501" t="s">
        <v>21</v>
      </c>
      <c r="S501" s="1">
        <v>0.6069444444444444</v>
      </c>
      <c r="T501" s="1">
        <v>0.64861111111111114</v>
      </c>
      <c r="U501">
        <v>60</v>
      </c>
      <c r="V501" t="b">
        <v>1</v>
      </c>
      <c r="W501" t="s">
        <v>257</v>
      </c>
      <c r="X501" t="s">
        <v>39</v>
      </c>
      <c r="Y501" t="s">
        <v>65</v>
      </c>
      <c r="Z501" t="b">
        <v>0</v>
      </c>
      <c r="AA501" t="s">
        <v>456</v>
      </c>
      <c r="AB501" t="b">
        <v>1</v>
      </c>
      <c r="AD501" s="2"/>
    </row>
    <row r="502" spans="1:30" x14ac:dyDescent="0.25">
      <c r="A502">
        <v>501</v>
      </c>
      <c r="B502" t="s">
        <v>25</v>
      </c>
      <c r="C502" s="3">
        <v>38425</v>
      </c>
      <c r="D502" s="2">
        <f ca="1">DATEDIF(gym_membership[[#This Row],[birthday]],TODAY(),"y")</f>
        <v>21</v>
      </c>
      <c r="E502">
        <v>19</v>
      </c>
      <c r="F502" t="s">
        <v>18</v>
      </c>
      <c r="G502">
        <v>2</v>
      </c>
      <c r="H502" t="s">
        <v>126</v>
      </c>
      <c r="I502" t="s">
        <v>94</v>
      </c>
      <c r="J502" t="s">
        <v>57</v>
      </c>
      <c r="N502" t="b">
        <v>1</v>
      </c>
      <c r="O502" t="s">
        <v>322</v>
      </c>
      <c r="P502" t="s">
        <v>58</v>
      </c>
      <c r="Q502" t="s">
        <v>72</v>
      </c>
      <c r="R502" t="s">
        <v>100</v>
      </c>
      <c r="S502" s="1">
        <v>0.80694444444444446</v>
      </c>
      <c r="T502" s="1">
        <v>0.85069444444444442</v>
      </c>
      <c r="U502">
        <v>63</v>
      </c>
      <c r="V502" t="b">
        <v>0</v>
      </c>
      <c r="W502" t="s">
        <v>21</v>
      </c>
      <c r="Z502" t="b">
        <v>0</v>
      </c>
      <c r="AA502" t="s">
        <v>456</v>
      </c>
      <c r="AB502" t="b">
        <v>0</v>
      </c>
      <c r="AD502" s="2"/>
    </row>
    <row r="503" spans="1:30" x14ac:dyDescent="0.25">
      <c r="A503">
        <v>502</v>
      </c>
      <c r="B503" t="s">
        <v>25</v>
      </c>
      <c r="C503" s="3">
        <v>40511</v>
      </c>
      <c r="D503" s="2">
        <f ca="1">DATEDIF(gym_membership[[#This Row],[birthday]],TODAY(),"y")</f>
        <v>15</v>
      </c>
      <c r="E503">
        <v>13</v>
      </c>
      <c r="F503" t="s">
        <v>18</v>
      </c>
      <c r="G503">
        <v>1</v>
      </c>
      <c r="H503" t="s">
        <v>44</v>
      </c>
      <c r="I503" t="s">
        <v>44</v>
      </c>
      <c r="N503" t="b">
        <v>0</v>
      </c>
      <c r="O503" t="s">
        <v>21</v>
      </c>
      <c r="S503" s="1">
        <v>0.67361111111111116</v>
      </c>
      <c r="T503" s="1">
        <v>0.69444444444444442</v>
      </c>
      <c r="U503">
        <v>30</v>
      </c>
      <c r="V503" t="b">
        <v>1</v>
      </c>
      <c r="W503" t="s">
        <v>65</v>
      </c>
      <c r="X503" t="s">
        <v>65</v>
      </c>
      <c r="Z503" t="b">
        <v>0</v>
      </c>
      <c r="AA503" t="s">
        <v>456</v>
      </c>
      <c r="AB503" t="b">
        <v>0</v>
      </c>
      <c r="AD503" s="2"/>
    </row>
    <row r="504" spans="1:30" x14ac:dyDescent="0.25">
      <c r="A504">
        <v>503</v>
      </c>
      <c r="B504" t="s">
        <v>17</v>
      </c>
      <c r="C504" s="3">
        <v>39374</v>
      </c>
      <c r="D504" s="2">
        <f ca="1">DATEDIF(gym_membership[[#This Row],[birthday]],TODAY(),"y")</f>
        <v>18</v>
      </c>
      <c r="E504">
        <v>16</v>
      </c>
      <c r="F504" t="s">
        <v>22</v>
      </c>
      <c r="G504">
        <v>3</v>
      </c>
      <c r="H504" t="s">
        <v>164</v>
      </c>
      <c r="I504" t="s">
        <v>34</v>
      </c>
      <c r="J504" t="s">
        <v>26</v>
      </c>
      <c r="K504" t="s">
        <v>95</v>
      </c>
      <c r="N504" t="b">
        <v>0</v>
      </c>
      <c r="O504" t="s">
        <v>21</v>
      </c>
      <c r="S504" s="1">
        <v>0.63194444444444442</v>
      </c>
      <c r="T504" s="1">
        <v>0.67083333333333328</v>
      </c>
      <c r="U504">
        <v>56</v>
      </c>
      <c r="V504" t="b">
        <v>0</v>
      </c>
      <c r="W504" t="s">
        <v>21</v>
      </c>
      <c r="Z504" t="b">
        <v>1</v>
      </c>
      <c r="AA504" t="s">
        <v>24</v>
      </c>
      <c r="AB504" t="b">
        <v>0</v>
      </c>
      <c r="AD504" s="2"/>
    </row>
    <row r="505" spans="1:30" x14ac:dyDescent="0.25">
      <c r="A505">
        <v>504</v>
      </c>
      <c r="B505" t="s">
        <v>17</v>
      </c>
      <c r="C505" s="3">
        <v>36861</v>
      </c>
      <c r="D505" s="2">
        <f ca="1">DATEDIF(gym_membership[[#This Row],[birthday]],TODAY(),"y")</f>
        <v>25</v>
      </c>
      <c r="E505">
        <v>23</v>
      </c>
      <c r="F505" t="s">
        <v>22</v>
      </c>
      <c r="G505">
        <v>3</v>
      </c>
      <c r="H505" t="s">
        <v>30</v>
      </c>
      <c r="I505" t="s">
        <v>26</v>
      </c>
      <c r="J505" t="s">
        <v>57</v>
      </c>
      <c r="K505" t="s">
        <v>77</v>
      </c>
      <c r="N505" t="b">
        <v>1</v>
      </c>
      <c r="O505" t="s">
        <v>307</v>
      </c>
      <c r="P505" t="s">
        <v>67</v>
      </c>
      <c r="Q505" t="s">
        <v>96</v>
      </c>
      <c r="S505" s="1">
        <v>0.5229166666666667</v>
      </c>
      <c r="T505" s="1">
        <v>0.6118055555555556</v>
      </c>
      <c r="U505">
        <v>128</v>
      </c>
      <c r="V505" t="b">
        <v>0</v>
      </c>
      <c r="W505" t="s">
        <v>21</v>
      </c>
      <c r="Z505" t="b">
        <v>0</v>
      </c>
      <c r="AA505" t="s">
        <v>456</v>
      </c>
      <c r="AB505" t="b">
        <v>0</v>
      </c>
      <c r="AD505" s="2"/>
    </row>
    <row r="506" spans="1:30" x14ac:dyDescent="0.25">
      <c r="A506">
        <v>505</v>
      </c>
      <c r="B506" t="s">
        <v>25</v>
      </c>
      <c r="C506" s="3">
        <v>32630</v>
      </c>
      <c r="D506" s="2">
        <f ca="1">DATEDIF(gym_membership[[#This Row],[birthday]],TODAY(),"y")</f>
        <v>37</v>
      </c>
      <c r="E506">
        <v>35</v>
      </c>
      <c r="F506" t="s">
        <v>22</v>
      </c>
      <c r="G506">
        <v>1</v>
      </c>
      <c r="H506" t="s">
        <v>57</v>
      </c>
      <c r="I506" t="s">
        <v>57</v>
      </c>
      <c r="N506" t="b">
        <v>0</v>
      </c>
      <c r="O506" t="s">
        <v>21</v>
      </c>
      <c r="S506" s="1">
        <v>0.67986111111111114</v>
      </c>
      <c r="T506" s="1">
        <v>0.80069444444444449</v>
      </c>
      <c r="U506">
        <v>174</v>
      </c>
      <c r="V506" t="b">
        <v>1</v>
      </c>
      <c r="W506" t="s">
        <v>76</v>
      </c>
      <c r="X506" t="s">
        <v>76</v>
      </c>
      <c r="Z506" t="b">
        <v>0</v>
      </c>
      <c r="AA506" t="s">
        <v>456</v>
      </c>
      <c r="AB506" t="b">
        <v>0</v>
      </c>
      <c r="AD506" s="2"/>
    </row>
    <row r="507" spans="1:30" x14ac:dyDescent="0.25">
      <c r="A507">
        <v>506</v>
      </c>
      <c r="B507" t="s">
        <v>17</v>
      </c>
      <c r="C507" s="3">
        <v>35620</v>
      </c>
      <c r="D507" s="2">
        <f ca="1">DATEDIF(gym_membership[[#This Row],[birthday]],TODAY(),"y")</f>
        <v>29</v>
      </c>
      <c r="E507">
        <v>27</v>
      </c>
      <c r="F507" t="s">
        <v>18</v>
      </c>
      <c r="G507">
        <v>2</v>
      </c>
      <c r="H507" t="s">
        <v>98</v>
      </c>
      <c r="I507" t="s">
        <v>57</v>
      </c>
      <c r="J507" t="s">
        <v>77</v>
      </c>
      <c r="N507" t="b">
        <v>0</v>
      </c>
      <c r="O507" t="s">
        <v>21</v>
      </c>
      <c r="S507" s="1">
        <v>0.76944444444444449</v>
      </c>
      <c r="T507" s="1">
        <v>0.84722222222222221</v>
      </c>
      <c r="U507">
        <v>112</v>
      </c>
      <c r="V507" t="b">
        <v>1</v>
      </c>
      <c r="W507" t="s">
        <v>39</v>
      </c>
      <c r="X507" t="s">
        <v>39</v>
      </c>
      <c r="Z507" t="b">
        <v>0</v>
      </c>
      <c r="AA507" t="s">
        <v>456</v>
      </c>
      <c r="AB507" t="b">
        <v>0</v>
      </c>
      <c r="AD507" s="2"/>
    </row>
    <row r="508" spans="1:30" x14ac:dyDescent="0.25">
      <c r="A508">
        <v>507</v>
      </c>
      <c r="B508" t="s">
        <v>17</v>
      </c>
      <c r="C508" s="3">
        <v>28269</v>
      </c>
      <c r="D508" s="2">
        <f ca="1">DATEDIF(gym_membership[[#This Row],[birthday]],TODAY(),"y")</f>
        <v>49</v>
      </c>
      <c r="E508">
        <v>47</v>
      </c>
      <c r="F508" t="s">
        <v>18</v>
      </c>
      <c r="G508">
        <v>2</v>
      </c>
      <c r="H508" t="s">
        <v>126</v>
      </c>
      <c r="I508" t="s">
        <v>94</v>
      </c>
      <c r="J508" t="s">
        <v>57</v>
      </c>
      <c r="N508" t="b">
        <v>1</v>
      </c>
      <c r="O508" t="s">
        <v>323</v>
      </c>
      <c r="P508" t="s">
        <v>91</v>
      </c>
      <c r="Q508" t="s">
        <v>96</v>
      </c>
      <c r="S508" s="1">
        <v>0.63124999999999998</v>
      </c>
      <c r="T508" s="1">
        <v>0.6791666666666667</v>
      </c>
      <c r="U508">
        <v>69</v>
      </c>
      <c r="V508" t="b">
        <v>1</v>
      </c>
      <c r="W508" t="s">
        <v>207</v>
      </c>
      <c r="X508" t="s">
        <v>76</v>
      </c>
      <c r="Y508" t="s">
        <v>51</v>
      </c>
      <c r="Z508" t="b">
        <v>1</v>
      </c>
      <c r="AA508" t="s">
        <v>24</v>
      </c>
      <c r="AB508" t="b">
        <v>1</v>
      </c>
      <c r="AD508" s="2"/>
    </row>
    <row r="509" spans="1:30" x14ac:dyDescent="0.25">
      <c r="A509">
        <v>508</v>
      </c>
      <c r="B509" t="s">
        <v>25</v>
      </c>
      <c r="C509" s="3">
        <v>29116</v>
      </c>
      <c r="D509" s="2">
        <f ca="1">DATEDIF(gym_membership[[#This Row],[birthday]],TODAY(),"y")</f>
        <v>46</v>
      </c>
      <c r="E509">
        <v>45</v>
      </c>
      <c r="F509" t="s">
        <v>22</v>
      </c>
      <c r="G509">
        <v>1</v>
      </c>
      <c r="H509" t="s">
        <v>34</v>
      </c>
      <c r="I509" t="s">
        <v>34</v>
      </c>
      <c r="N509" t="b">
        <v>0</v>
      </c>
      <c r="O509" t="s">
        <v>21</v>
      </c>
      <c r="S509" s="1">
        <v>0.80763888888888891</v>
      </c>
      <c r="T509" s="1">
        <v>0.86805555555555558</v>
      </c>
      <c r="U509">
        <v>87</v>
      </c>
      <c r="V509" t="b">
        <v>0</v>
      </c>
      <c r="W509" t="s">
        <v>21</v>
      </c>
      <c r="Z509" t="b">
        <v>1</v>
      </c>
      <c r="AA509" t="s">
        <v>43</v>
      </c>
      <c r="AB509" t="b">
        <v>1</v>
      </c>
      <c r="AD509" s="2"/>
    </row>
    <row r="510" spans="1:30" x14ac:dyDescent="0.25">
      <c r="A510">
        <v>509</v>
      </c>
      <c r="B510" t="s">
        <v>17</v>
      </c>
      <c r="C510" s="3">
        <v>35510</v>
      </c>
      <c r="D510" s="2">
        <f ca="1">DATEDIF(gym_membership[[#This Row],[birthday]],TODAY(),"y")</f>
        <v>29</v>
      </c>
      <c r="E510">
        <v>27</v>
      </c>
      <c r="F510" t="s">
        <v>18</v>
      </c>
      <c r="G510">
        <v>1</v>
      </c>
      <c r="H510" t="s">
        <v>95</v>
      </c>
      <c r="I510" t="s">
        <v>95</v>
      </c>
      <c r="N510" t="b">
        <v>0</v>
      </c>
      <c r="O510" t="s">
        <v>21</v>
      </c>
      <c r="S510" s="1">
        <v>0.59513888888888888</v>
      </c>
      <c r="T510" s="1">
        <v>0.65416666666666667</v>
      </c>
      <c r="U510">
        <v>85</v>
      </c>
      <c r="V510" t="b">
        <v>0</v>
      </c>
      <c r="W510" t="s">
        <v>21</v>
      </c>
      <c r="Z510" t="b">
        <v>0</v>
      </c>
      <c r="AA510" t="s">
        <v>456</v>
      </c>
      <c r="AB510" t="b">
        <v>0</v>
      </c>
      <c r="AD510" s="2"/>
    </row>
    <row r="511" spans="1:30" x14ac:dyDescent="0.25">
      <c r="A511">
        <v>510</v>
      </c>
      <c r="B511" t="s">
        <v>25</v>
      </c>
      <c r="C511" s="3">
        <v>38434</v>
      </c>
      <c r="D511" s="2">
        <f ca="1">DATEDIF(gym_membership[[#This Row],[birthday]],TODAY(),"y")</f>
        <v>21</v>
      </c>
      <c r="E511">
        <v>19</v>
      </c>
      <c r="F511" t="s">
        <v>22</v>
      </c>
      <c r="G511">
        <v>3</v>
      </c>
      <c r="H511" t="s">
        <v>101</v>
      </c>
      <c r="I511" t="s">
        <v>94</v>
      </c>
      <c r="J511" t="s">
        <v>57</v>
      </c>
      <c r="K511" t="s">
        <v>77</v>
      </c>
      <c r="N511" t="b">
        <v>1</v>
      </c>
      <c r="O511" t="s">
        <v>324</v>
      </c>
      <c r="P511" t="s">
        <v>91</v>
      </c>
      <c r="Q511" t="s">
        <v>120</v>
      </c>
      <c r="R511" t="s">
        <v>103</v>
      </c>
      <c r="S511" s="1">
        <v>0.53888888888888886</v>
      </c>
      <c r="T511" s="1">
        <v>0.66111111111111109</v>
      </c>
      <c r="U511">
        <v>176</v>
      </c>
      <c r="V511" t="b">
        <v>0</v>
      </c>
      <c r="W511" t="s">
        <v>21</v>
      </c>
      <c r="Z511" t="b">
        <v>1</v>
      </c>
      <c r="AA511" t="s">
        <v>43</v>
      </c>
      <c r="AB511" t="b">
        <v>0</v>
      </c>
      <c r="AD511" s="2"/>
    </row>
    <row r="512" spans="1:30" x14ac:dyDescent="0.25">
      <c r="A512">
        <v>511</v>
      </c>
      <c r="B512" t="s">
        <v>25</v>
      </c>
      <c r="C512" s="3">
        <v>32158</v>
      </c>
      <c r="D512" s="2">
        <f ca="1">DATEDIF(gym_membership[[#This Row],[birthday]],TODAY(),"y")</f>
        <v>38</v>
      </c>
      <c r="E512">
        <v>36</v>
      </c>
      <c r="F512" t="s">
        <v>22</v>
      </c>
      <c r="G512">
        <v>1</v>
      </c>
      <c r="H512" t="s">
        <v>26</v>
      </c>
      <c r="I512" t="s">
        <v>26</v>
      </c>
      <c r="N512" t="b">
        <v>1</v>
      </c>
      <c r="O512" t="s">
        <v>27</v>
      </c>
      <c r="P512" t="s">
        <v>27</v>
      </c>
      <c r="S512" s="1">
        <v>0.49722222222222223</v>
      </c>
      <c r="T512" s="1">
        <v>0.54027777777777775</v>
      </c>
      <c r="U512">
        <v>62</v>
      </c>
      <c r="V512" t="b">
        <v>1</v>
      </c>
      <c r="W512" t="s">
        <v>167</v>
      </c>
      <c r="X512" t="s">
        <v>65</v>
      </c>
      <c r="Y512" t="s">
        <v>31</v>
      </c>
      <c r="Z512" t="b">
        <v>1</v>
      </c>
      <c r="AA512" t="s">
        <v>29</v>
      </c>
      <c r="AB512" t="b">
        <v>1</v>
      </c>
      <c r="AD512" s="2"/>
    </row>
    <row r="513" spans="1:30" x14ac:dyDescent="0.25">
      <c r="A513">
        <v>512</v>
      </c>
      <c r="B513" t="s">
        <v>25</v>
      </c>
      <c r="C513" s="3">
        <v>36883</v>
      </c>
      <c r="D513" s="2">
        <f ca="1">DATEDIF(gym_membership[[#This Row],[birthday]],TODAY(),"y")</f>
        <v>25</v>
      </c>
      <c r="E513">
        <v>23</v>
      </c>
      <c r="F513" t="s">
        <v>22</v>
      </c>
      <c r="G513">
        <v>3</v>
      </c>
      <c r="H513" t="s">
        <v>101</v>
      </c>
      <c r="I513" t="s">
        <v>94</v>
      </c>
      <c r="J513" t="s">
        <v>57</v>
      </c>
      <c r="K513" t="s">
        <v>77</v>
      </c>
      <c r="N513" t="b">
        <v>1</v>
      </c>
      <c r="O513" t="s">
        <v>325</v>
      </c>
      <c r="P513" t="s">
        <v>27</v>
      </c>
      <c r="Q513" t="s">
        <v>100</v>
      </c>
      <c r="R513" t="s">
        <v>58</v>
      </c>
      <c r="S513" s="1">
        <v>0.79305555555555551</v>
      </c>
      <c r="T513" s="1">
        <v>0.88124999999999998</v>
      </c>
      <c r="U513">
        <v>127</v>
      </c>
      <c r="V513" t="b">
        <v>0</v>
      </c>
      <c r="W513" t="s">
        <v>21</v>
      </c>
      <c r="Z513" t="b">
        <v>0</v>
      </c>
      <c r="AA513" t="s">
        <v>456</v>
      </c>
      <c r="AB513" t="b">
        <v>0</v>
      </c>
      <c r="AD513" s="2"/>
    </row>
    <row r="514" spans="1:30" x14ac:dyDescent="0.25">
      <c r="A514">
        <v>513</v>
      </c>
      <c r="B514" t="s">
        <v>25</v>
      </c>
      <c r="C514" s="3">
        <v>36283</v>
      </c>
      <c r="D514" s="2">
        <f ca="1">DATEDIF(gym_membership[[#This Row],[birthday]],TODAY(),"y")</f>
        <v>27</v>
      </c>
      <c r="E514">
        <v>25</v>
      </c>
      <c r="F514" t="s">
        <v>18</v>
      </c>
      <c r="G514">
        <v>1</v>
      </c>
      <c r="H514" t="s">
        <v>26</v>
      </c>
      <c r="I514" t="s">
        <v>26</v>
      </c>
      <c r="N514" t="b">
        <v>1</v>
      </c>
      <c r="O514" t="s">
        <v>224</v>
      </c>
      <c r="P514" t="s">
        <v>120</v>
      </c>
      <c r="Q514" t="s">
        <v>128</v>
      </c>
      <c r="S514" s="1">
        <v>0.60416666666666663</v>
      </c>
      <c r="T514" s="1">
        <v>0.62708333333333333</v>
      </c>
      <c r="U514">
        <v>33</v>
      </c>
      <c r="V514" t="b">
        <v>1</v>
      </c>
      <c r="W514" t="s">
        <v>59</v>
      </c>
      <c r="X514" t="s">
        <v>59</v>
      </c>
      <c r="Z514" t="b">
        <v>1</v>
      </c>
      <c r="AA514" t="s">
        <v>45</v>
      </c>
      <c r="AB514" t="b">
        <v>0</v>
      </c>
      <c r="AD514" s="2"/>
    </row>
    <row r="515" spans="1:30" x14ac:dyDescent="0.25">
      <c r="A515">
        <v>514</v>
      </c>
      <c r="B515" t="s">
        <v>17</v>
      </c>
      <c r="C515" s="3">
        <v>37024</v>
      </c>
      <c r="D515" s="2">
        <f ca="1">DATEDIF(gym_membership[[#This Row],[birthday]],TODAY(),"y")</f>
        <v>25</v>
      </c>
      <c r="E515">
        <v>23</v>
      </c>
      <c r="F515" t="s">
        <v>22</v>
      </c>
      <c r="G515">
        <v>3</v>
      </c>
      <c r="H515" t="s">
        <v>210</v>
      </c>
      <c r="I515" t="s">
        <v>44</v>
      </c>
      <c r="J515" t="s">
        <v>34</v>
      </c>
      <c r="K515" t="s">
        <v>77</v>
      </c>
      <c r="N515" t="b">
        <v>1</v>
      </c>
      <c r="O515" t="s">
        <v>326</v>
      </c>
      <c r="P515" t="s">
        <v>72</v>
      </c>
      <c r="Q515" t="s">
        <v>27</v>
      </c>
      <c r="S515" s="1">
        <v>0.52986111111111112</v>
      </c>
      <c r="T515" s="1">
        <v>0.55069444444444449</v>
      </c>
      <c r="U515">
        <v>30</v>
      </c>
      <c r="V515" t="b">
        <v>1</v>
      </c>
      <c r="W515" t="s">
        <v>31</v>
      </c>
      <c r="X515" t="s">
        <v>31</v>
      </c>
      <c r="Z515" t="b">
        <v>0</v>
      </c>
      <c r="AA515" t="s">
        <v>456</v>
      </c>
      <c r="AB515" t="b">
        <v>0</v>
      </c>
      <c r="AD515" s="2"/>
    </row>
    <row r="516" spans="1:30" x14ac:dyDescent="0.25">
      <c r="A516">
        <v>515</v>
      </c>
      <c r="B516" t="s">
        <v>17</v>
      </c>
      <c r="C516" s="3">
        <v>37552</v>
      </c>
      <c r="D516" s="2">
        <f ca="1">DATEDIF(gym_membership[[#This Row],[birthday]],TODAY(),"y")</f>
        <v>23</v>
      </c>
      <c r="E516">
        <v>21</v>
      </c>
      <c r="F516" t="s">
        <v>22</v>
      </c>
      <c r="G516">
        <v>1</v>
      </c>
      <c r="H516" t="s">
        <v>34</v>
      </c>
      <c r="I516" t="s">
        <v>34</v>
      </c>
      <c r="N516" t="b">
        <v>0</v>
      </c>
      <c r="O516" t="s">
        <v>21</v>
      </c>
      <c r="S516" s="1">
        <v>0.35347222222222224</v>
      </c>
      <c r="T516" s="1">
        <v>0.41180555555555554</v>
      </c>
      <c r="U516">
        <v>84</v>
      </c>
      <c r="V516" t="b">
        <v>1</v>
      </c>
      <c r="W516" t="s">
        <v>31</v>
      </c>
      <c r="X516" t="s">
        <v>31</v>
      </c>
      <c r="Z516" t="b">
        <v>0</v>
      </c>
      <c r="AA516" t="s">
        <v>456</v>
      </c>
      <c r="AB516" t="b">
        <v>0</v>
      </c>
      <c r="AD516" s="2"/>
    </row>
    <row r="517" spans="1:30" x14ac:dyDescent="0.25">
      <c r="A517">
        <v>516</v>
      </c>
      <c r="B517" t="s">
        <v>17</v>
      </c>
      <c r="C517" s="3">
        <v>27697</v>
      </c>
      <c r="D517" s="2">
        <f ca="1">DATEDIF(gym_membership[[#This Row],[birthday]],TODAY(),"y")</f>
        <v>50</v>
      </c>
      <c r="E517">
        <v>48</v>
      </c>
      <c r="F517" t="s">
        <v>18</v>
      </c>
      <c r="G517">
        <v>1</v>
      </c>
      <c r="H517" t="s">
        <v>77</v>
      </c>
      <c r="I517" t="s">
        <v>77</v>
      </c>
      <c r="N517" t="b">
        <v>1</v>
      </c>
      <c r="O517" t="s">
        <v>103</v>
      </c>
      <c r="P517" t="s">
        <v>103</v>
      </c>
      <c r="S517" s="1">
        <v>0.61388888888888893</v>
      </c>
      <c r="T517" s="1">
        <v>0.70902777777777781</v>
      </c>
      <c r="U517">
        <v>137</v>
      </c>
      <c r="V517" t="b">
        <v>0</v>
      </c>
      <c r="W517" t="s">
        <v>21</v>
      </c>
      <c r="Z517" t="b">
        <v>1</v>
      </c>
      <c r="AA517" t="s">
        <v>24</v>
      </c>
      <c r="AB517" t="b">
        <v>0</v>
      </c>
      <c r="AD517" s="2"/>
    </row>
    <row r="518" spans="1:30" x14ac:dyDescent="0.25">
      <c r="A518">
        <v>517</v>
      </c>
      <c r="B518" t="s">
        <v>25</v>
      </c>
      <c r="C518" s="3">
        <v>35965</v>
      </c>
      <c r="D518" s="2">
        <f ca="1">DATEDIF(gym_membership[[#This Row],[birthday]],TODAY(),"y")</f>
        <v>28</v>
      </c>
      <c r="E518">
        <v>26</v>
      </c>
      <c r="F518" t="s">
        <v>22</v>
      </c>
      <c r="G518">
        <v>4</v>
      </c>
      <c r="H518" t="s">
        <v>53</v>
      </c>
      <c r="I518" t="s">
        <v>34</v>
      </c>
      <c r="J518" t="s">
        <v>95</v>
      </c>
      <c r="K518" t="s">
        <v>57</v>
      </c>
      <c r="L518" t="s">
        <v>77</v>
      </c>
      <c r="N518" t="b">
        <v>0</v>
      </c>
      <c r="O518" t="s">
        <v>21</v>
      </c>
      <c r="S518" s="1">
        <v>0.36388888888888887</v>
      </c>
      <c r="T518" s="1">
        <v>0.46597222222222223</v>
      </c>
      <c r="U518">
        <v>147</v>
      </c>
      <c r="V518" t="b">
        <v>1</v>
      </c>
      <c r="W518" t="s">
        <v>51</v>
      </c>
      <c r="X518" t="s">
        <v>51</v>
      </c>
      <c r="Z518" t="b">
        <v>0</v>
      </c>
      <c r="AA518" t="s">
        <v>456</v>
      </c>
      <c r="AB518" t="b">
        <v>0</v>
      </c>
      <c r="AD518" s="2"/>
    </row>
    <row r="519" spans="1:30" x14ac:dyDescent="0.25">
      <c r="A519">
        <v>518</v>
      </c>
      <c r="B519" t="s">
        <v>25</v>
      </c>
      <c r="C519" s="3">
        <v>39261</v>
      </c>
      <c r="D519" s="2">
        <f ca="1">DATEDIF(gym_membership[[#This Row],[birthday]],TODAY(),"y")</f>
        <v>19</v>
      </c>
      <c r="E519">
        <v>17</v>
      </c>
      <c r="F519" t="s">
        <v>22</v>
      </c>
      <c r="G519">
        <v>2</v>
      </c>
      <c r="H519" t="s">
        <v>156</v>
      </c>
      <c r="I519" t="s">
        <v>44</v>
      </c>
      <c r="J519" t="s">
        <v>77</v>
      </c>
      <c r="N519" t="b">
        <v>1</v>
      </c>
      <c r="O519" t="s">
        <v>327</v>
      </c>
      <c r="P519" t="s">
        <v>41</v>
      </c>
      <c r="Q519" t="s">
        <v>27</v>
      </c>
      <c r="S519" s="1">
        <v>0.35</v>
      </c>
      <c r="T519" s="1">
        <v>0.41458333333333336</v>
      </c>
      <c r="U519">
        <v>93</v>
      </c>
      <c r="V519" t="b">
        <v>0</v>
      </c>
      <c r="W519" t="s">
        <v>21</v>
      </c>
      <c r="Z519" t="b">
        <v>0</v>
      </c>
      <c r="AA519" t="s">
        <v>456</v>
      </c>
      <c r="AB519" t="b">
        <v>0</v>
      </c>
      <c r="AD519" s="2"/>
    </row>
    <row r="520" spans="1:30" x14ac:dyDescent="0.25">
      <c r="A520">
        <v>519</v>
      </c>
      <c r="B520" t="s">
        <v>25</v>
      </c>
      <c r="C520" s="3">
        <v>40508</v>
      </c>
      <c r="D520" s="2">
        <f ca="1">DATEDIF(gym_membership[[#This Row],[birthday]],TODAY(),"y")</f>
        <v>15</v>
      </c>
      <c r="E520">
        <v>13</v>
      </c>
      <c r="F520" t="s">
        <v>22</v>
      </c>
      <c r="G520">
        <v>2</v>
      </c>
      <c r="H520" t="s">
        <v>126</v>
      </c>
      <c r="I520" t="s">
        <v>94</v>
      </c>
      <c r="J520" t="s">
        <v>57</v>
      </c>
      <c r="N520" t="b">
        <v>1</v>
      </c>
      <c r="O520" t="s">
        <v>27</v>
      </c>
      <c r="P520" t="s">
        <v>27</v>
      </c>
      <c r="S520" s="1">
        <v>0.44027777777777777</v>
      </c>
      <c r="T520" s="1">
        <v>0.53402777777777777</v>
      </c>
      <c r="U520">
        <v>135</v>
      </c>
      <c r="V520" t="b">
        <v>1</v>
      </c>
      <c r="W520" t="s">
        <v>80</v>
      </c>
      <c r="X520" t="s">
        <v>59</v>
      </c>
      <c r="Y520" t="s">
        <v>39</v>
      </c>
      <c r="Z520" t="b">
        <v>0</v>
      </c>
      <c r="AA520" t="s">
        <v>456</v>
      </c>
      <c r="AB520" t="b">
        <v>0</v>
      </c>
      <c r="AD520" s="2"/>
    </row>
    <row r="521" spans="1:30" x14ac:dyDescent="0.25">
      <c r="A521">
        <v>520</v>
      </c>
      <c r="B521" t="s">
        <v>17</v>
      </c>
      <c r="C521" s="3">
        <v>33493</v>
      </c>
      <c r="D521" s="2">
        <f ca="1">DATEDIF(gym_membership[[#This Row],[birthday]],TODAY(),"y")</f>
        <v>34</v>
      </c>
      <c r="E521">
        <v>33</v>
      </c>
      <c r="F521" t="s">
        <v>22</v>
      </c>
      <c r="G521">
        <v>3</v>
      </c>
      <c r="H521" t="s">
        <v>164</v>
      </c>
      <c r="I521" t="s">
        <v>34</v>
      </c>
      <c r="J521" t="s">
        <v>26</v>
      </c>
      <c r="K521" t="s">
        <v>95</v>
      </c>
      <c r="N521" t="b">
        <v>0</v>
      </c>
      <c r="O521" t="s">
        <v>21</v>
      </c>
      <c r="S521" s="1">
        <v>0.8125</v>
      </c>
      <c r="T521" s="1">
        <v>0.91597222222222219</v>
      </c>
      <c r="U521">
        <v>149</v>
      </c>
      <c r="V521" t="b">
        <v>1</v>
      </c>
      <c r="W521" t="s">
        <v>217</v>
      </c>
      <c r="X521" t="s">
        <v>76</v>
      </c>
      <c r="Y521" t="s">
        <v>59</v>
      </c>
      <c r="Z521" t="b">
        <v>0</v>
      </c>
      <c r="AA521" t="s">
        <v>456</v>
      </c>
      <c r="AB521" t="b">
        <v>1</v>
      </c>
      <c r="AD521" s="2"/>
    </row>
    <row r="522" spans="1:30" x14ac:dyDescent="0.25">
      <c r="A522">
        <v>521</v>
      </c>
      <c r="B522" t="s">
        <v>17</v>
      </c>
      <c r="C522" s="3">
        <v>34029</v>
      </c>
      <c r="D522" s="2">
        <f ca="1">DATEDIF(gym_membership[[#This Row],[birthday]],TODAY(),"y")</f>
        <v>33</v>
      </c>
      <c r="E522">
        <v>31</v>
      </c>
      <c r="F522" t="s">
        <v>18</v>
      </c>
      <c r="G522">
        <v>4</v>
      </c>
      <c r="H522" t="s">
        <v>209</v>
      </c>
      <c r="I522" t="s">
        <v>44</v>
      </c>
      <c r="J522" t="s">
        <v>34</v>
      </c>
      <c r="K522" t="s">
        <v>57</v>
      </c>
      <c r="L522" t="s">
        <v>77</v>
      </c>
      <c r="N522" t="b">
        <v>0</v>
      </c>
      <c r="O522" t="s">
        <v>21</v>
      </c>
      <c r="S522" s="1">
        <v>0.85624999999999996</v>
      </c>
      <c r="T522" s="1">
        <v>0.9555555555555556</v>
      </c>
      <c r="U522">
        <v>143</v>
      </c>
      <c r="V522" t="b">
        <v>1</v>
      </c>
      <c r="W522" t="s">
        <v>31</v>
      </c>
      <c r="X522" t="s">
        <v>31</v>
      </c>
      <c r="Z522" t="b">
        <v>0</v>
      </c>
      <c r="AA522" t="s">
        <v>456</v>
      </c>
      <c r="AB522" t="b">
        <v>0</v>
      </c>
      <c r="AD522" s="2"/>
    </row>
    <row r="523" spans="1:30" x14ac:dyDescent="0.25">
      <c r="A523">
        <v>522</v>
      </c>
      <c r="B523" t="s">
        <v>17</v>
      </c>
      <c r="C523" s="3">
        <v>36588</v>
      </c>
      <c r="D523" s="2">
        <f ca="1">DATEDIF(gym_membership[[#This Row],[birthday]],TODAY(),"y")</f>
        <v>26</v>
      </c>
      <c r="E523">
        <v>24</v>
      </c>
      <c r="F523" t="s">
        <v>22</v>
      </c>
      <c r="G523">
        <v>2</v>
      </c>
      <c r="H523" t="s">
        <v>289</v>
      </c>
      <c r="I523" t="s">
        <v>34</v>
      </c>
      <c r="J523" t="s">
        <v>95</v>
      </c>
      <c r="N523" t="b">
        <v>1</v>
      </c>
      <c r="O523" t="s">
        <v>72</v>
      </c>
      <c r="P523" t="s">
        <v>72</v>
      </c>
      <c r="S523" s="1">
        <v>0.85069444444444442</v>
      </c>
      <c r="T523" s="1">
        <v>0.87152777777777779</v>
      </c>
      <c r="U523">
        <v>30</v>
      </c>
      <c r="V523" t="b">
        <v>0</v>
      </c>
      <c r="W523" t="s">
        <v>21</v>
      </c>
      <c r="Z523" t="b">
        <v>0</v>
      </c>
      <c r="AA523" t="s">
        <v>456</v>
      </c>
      <c r="AB523" t="b">
        <v>1</v>
      </c>
      <c r="AD523" s="2"/>
    </row>
    <row r="524" spans="1:30" x14ac:dyDescent="0.25">
      <c r="A524">
        <v>523</v>
      </c>
      <c r="B524" t="s">
        <v>17</v>
      </c>
      <c r="C524" s="3">
        <v>34346</v>
      </c>
      <c r="D524" s="2">
        <f ca="1">DATEDIF(gym_membership[[#This Row],[birthday]],TODAY(),"y")</f>
        <v>32</v>
      </c>
      <c r="E524">
        <v>30</v>
      </c>
      <c r="F524" t="s">
        <v>18</v>
      </c>
      <c r="G524">
        <v>1</v>
      </c>
      <c r="H524" t="s">
        <v>44</v>
      </c>
      <c r="I524" t="s">
        <v>44</v>
      </c>
      <c r="N524" t="b">
        <v>0</v>
      </c>
      <c r="O524" t="s">
        <v>21</v>
      </c>
      <c r="S524" s="1">
        <v>0.74930555555555556</v>
      </c>
      <c r="T524" s="1">
        <v>0.86597222222222225</v>
      </c>
      <c r="U524">
        <v>168</v>
      </c>
      <c r="V524" t="b">
        <v>0</v>
      </c>
      <c r="W524" t="s">
        <v>21</v>
      </c>
      <c r="Z524" t="b">
        <v>1</v>
      </c>
      <c r="AA524" t="s">
        <v>24</v>
      </c>
      <c r="AB524" t="b">
        <v>1</v>
      </c>
      <c r="AD524" s="2"/>
    </row>
    <row r="525" spans="1:30" x14ac:dyDescent="0.25">
      <c r="A525">
        <v>524</v>
      </c>
      <c r="B525" t="s">
        <v>17</v>
      </c>
      <c r="C525" s="3">
        <v>40011</v>
      </c>
      <c r="D525" s="2">
        <f ca="1">DATEDIF(gym_membership[[#This Row],[birthday]],TODAY(),"y")</f>
        <v>17</v>
      </c>
      <c r="E525">
        <v>15</v>
      </c>
      <c r="F525" t="s">
        <v>22</v>
      </c>
      <c r="G525">
        <v>2</v>
      </c>
      <c r="H525" t="s">
        <v>132</v>
      </c>
      <c r="I525" t="s">
        <v>44</v>
      </c>
      <c r="J525" t="s">
        <v>94</v>
      </c>
      <c r="N525" t="b">
        <v>1</v>
      </c>
      <c r="O525" t="s">
        <v>27</v>
      </c>
      <c r="P525" t="s">
        <v>27</v>
      </c>
      <c r="S525" s="1">
        <v>0.59722222222222221</v>
      </c>
      <c r="T525" s="1">
        <v>0.70902777777777781</v>
      </c>
      <c r="U525">
        <v>161</v>
      </c>
      <c r="V525" t="b">
        <v>0</v>
      </c>
      <c r="W525" t="s">
        <v>21</v>
      </c>
      <c r="Z525" t="b">
        <v>0</v>
      </c>
      <c r="AA525" t="s">
        <v>456</v>
      </c>
      <c r="AB525" t="b">
        <v>0</v>
      </c>
      <c r="AD525" s="2"/>
    </row>
    <row r="526" spans="1:30" x14ac:dyDescent="0.25">
      <c r="A526">
        <v>525</v>
      </c>
      <c r="B526" t="s">
        <v>17</v>
      </c>
      <c r="C526" s="3">
        <v>35527</v>
      </c>
      <c r="D526" s="2">
        <f ca="1">DATEDIF(gym_membership[[#This Row],[birthday]],TODAY(),"y")</f>
        <v>29</v>
      </c>
      <c r="E526">
        <v>27</v>
      </c>
      <c r="F526" t="s">
        <v>18</v>
      </c>
      <c r="G526">
        <v>5</v>
      </c>
      <c r="H526" t="s">
        <v>211</v>
      </c>
      <c r="I526" t="s">
        <v>44</v>
      </c>
      <c r="J526" t="s">
        <v>34</v>
      </c>
      <c r="K526" t="s">
        <v>94</v>
      </c>
      <c r="L526" t="s">
        <v>57</v>
      </c>
      <c r="M526" t="s">
        <v>77</v>
      </c>
      <c r="N526" t="b">
        <v>0</v>
      </c>
      <c r="O526" t="s">
        <v>21</v>
      </c>
      <c r="S526" s="1">
        <v>0.76527777777777772</v>
      </c>
      <c r="T526" s="1">
        <v>0.7944444444444444</v>
      </c>
      <c r="U526">
        <v>42</v>
      </c>
      <c r="V526" t="b">
        <v>0</v>
      </c>
      <c r="W526" t="s">
        <v>21</v>
      </c>
      <c r="Z526" t="b">
        <v>0</v>
      </c>
      <c r="AA526" t="s">
        <v>456</v>
      </c>
      <c r="AB526" t="b">
        <v>0</v>
      </c>
      <c r="AD526" s="2"/>
    </row>
    <row r="527" spans="1:30" x14ac:dyDescent="0.25">
      <c r="A527">
        <v>526</v>
      </c>
      <c r="B527" t="s">
        <v>25</v>
      </c>
      <c r="C527" s="3">
        <v>39454</v>
      </c>
      <c r="D527" s="2">
        <f ca="1">DATEDIF(gym_membership[[#This Row],[birthday]],TODAY(),"y")</f>
        <v>18</v>
      </c>
      <c r="E527">
        <v>16</v>
      </c>
      <c r="F527" t="s">
        <v>22</v>
      </c>
      <c r="G527">
        <v>4</v>
      </c>
      <c r="H527" t="s">
        <v>201</v>
      </c>
      <c r="I527" t="s">
        <v>34</v>
      </c>
      <c r="J527" t="s">
        <v>26</v>
      </c>
      <c r="K527" t="s">
        <v>94</v>
      </c>
      <c r="L527" t="s">
        <v>95</v>
      </c>
      <c r="N527" t="b">
        <v>1</v>
      </c>
      <c r="O527" t="s">
        <v>328</v>
      </c>
      <c r="P527" t="s">
        <v>72</v>
      </c>
      <c r="Q527" t="s">
        <v>128</v>
      </c>
      <c r="R527" t="s">
        <v>100</v>
      </c>
      <c r="S527" s="1">
        <v>0.57152777777777775</v>
      </c>
      <c r="T527" s="1">
        <v>0.59305555555555556</v>
      </c>
      <c r="U527">
        <v>31</v>
      </c>
      <c r="V527" t="b">
        <v>1</v>
      </c>
      <c r="W527" t="s">
        <v>31</v>
      </c>
      <c r="X527" t="s">
        <v>31</v>
      </c>
      <c r="Z527" t="b">
        <v>1</v>
      </c>
      <c r="AA527" t="s">
        <v>29</v>
      </c>
      <c r="AB527" t="b">
        <v>0</v>
      </c>
      <c r="AD527" s="2"/>
    </row>
    <row r="528" spans="1:30" x14ac:dyDescent="0.25">
      <c r="A528">
        <v>527</v>
      </c>
      <c r="B528" t="s">
        <v>17</v>
      </c>
      <c r="C528" s="3">
        <v>33105</v>
      </c>
      <c r="D528" s="2">
        <f ca="1">DATEDIF(gym_membership[[#This Row],[birthday]],TODAY(),"y")</f>
        <v>36</v>
      </c>
      <c r="E528">
        <v>34</v>
      </c>
      <c r="F528" t="s">
        <v>18</v>
      </c>
      <c r="G528">
        <v>3</v>
      </c>
      <c r="H528" t="s">
        <v>50</v>
      </c>
      <c r="I528" t="s">
        <v>34</v>
      </c>
      <c r="J528" t="s">
        <v>57</v>
      </c>
      <c r="K528" t="s">
        <v>77</v>
      </c>
      <c r="N528" t="b">
        <v>0</v>
      </c>
      <c r="O528" t="s">
        <v>21</v>
      </c>
      <c r="S528" s="1">
        <v>0.46875</v>
      </c>
      <c r="T528" s="1">
        <v>0.55833333333333335</v>
      </c>
      <c r="U528">
        <v>129</v>
      </c>
      <c r="V528" t="b">
        <v>1</v>
      </c>
      <c r="W528" t="s">
        <v>31</v>
      </c>
      <c r="X528" t="s">
        <v>31</v>
      </c>
      <c r="Z528" t="b">
        <v>1</v>
      </c>
      <c r="AA528" t="s">
        <v>24</v>
      </c>
      <c r="AB528" t="b">
        <v>1</v>
      </c>
      <c r="AD528" s="2"/>
    </row>
    <row r="529" spans="1:30" x14ac:dyDescent="0.25">
      <c r="A529">
        <v>528</v>
      </c>
      <c r="B529" t="s">
        <v>17</v>
      </c>
      <c r="C529" s="3">
        <v>36006</v>
      </c>
      <c r="D529" s="2">
        <f ca="1">DATEDIF(gym_membership[[#This Row],[birthday]],TODAY(),"y")</f>
        <v>28</v>
      </c>
      <c r="E529">
        <v>26</v>
      </c>
      <c r="F529" t="s">
        <v>22</v>
      </c>
      <c r="G529">
        <v>3</v>
      </c>
      <c r="H529" t="s">
        <v>35</v>
      </c>
      <c r="I529" t="s">
        <v>26</v>
      </c>
      <c r="J529" t="s">
        <v>95</v>
      </c>
      <c r="K529" t="s">
        <v>77</v>
      </c>
      <c r="N529" t="b">
        <v>1</v>
      </c>
      <c r="O529" t="s">
        <v>96</v>
      </c>
      <c r="P529" t="s">
        <v>96</v>
      </c>
      <c r="S529" s="1">
        <v>0.35208333333333336</v>
      </c>
      <c r="T529" s="1">
        <v>0.44374999999999998</v>
      </c>
      <c r="U529">
        <v>132</v>
      </c>
      <c r="V529" t="b">
        <v>1</v>
      </c>
      <c r="W529" t="s">
        <v>76</v>
      </c>
      <c r="X529" t="s">
        <v>76</v>
      </c>
      <c r="Z529" t="b">
        <v>0</v>
      </c>
      <c r="AA529" t="s">
        <v>456</v>
      </c>
      <c r="AB529" t="b">
        <v>1</v>
      </c>
      <c r="AD529" s="2"/>
    </row>
    <row r="530" spans="1:30" x14ac:dyDescent="0.25">
      <c r="A530">
        <v>529</v>
      </c>
      <c r="B530" t="s">
        <v>25</v>
      </c>
      <c r="C530" s="3">
        <v>38243</v>
      </c>
      <c r="D530" s="2">
        <f ca="1">DATEDIF(gym_membership[[#This Row],[birthday]],TODAY(),"y")</f>
        <v>21</v>
      </c>
      <c r="E530">
        <v>20</v>
      </c>
      <c r="F530" t="s">
        <v>18</v>
      </c>
      <c r="G530">
        <v>2</v>
      </c>
      <c r="H530" t="s">
        <v>37</v>
      </c>
      <c r="I530" t="s">
        <v>34</v>
      </c>
      <c r="J530" t="s">
        <v>77</v>
      </c>
      <c r="N530" t="b">
        <v>0</v>
      </c>
      <c r="O530" t="s">
        <v>21</v>
      </c>
      <c r="S530" s="1">
        <v>0.36805555555555558</v>
      </c>
      <c r="T530" s="1">
        <v>0.42569444444444443</v>
      </c>
      <c r="U530">
        <v>83</v>
      </c>
      <c r="V530" t="b">
        <v>0</v>
      </c>
      <c r="W530" t="s">
        <v>21</v>
      </c>
      <c r="Z530" t="b">
        <v>0</v>
      </c>
      <c r="AA530" t="s">
        <v>456</v>
      </c>
      <c r="AB530" t="b">
        <v>0</v>
      </c>
      <c r="AD530" s="2"/>
    </row>
    <row r="531" spans="1:30" x14ac:dyDescent="0.25">
      <c r="A531">
        <v>530</v>
      </c>
      <c r="B531" t="s">
        <v>17</v>
      </c>
      <c r="C531" s="3">
        <v>28962</v>
      </c>
      <c r="D531" s="2">
        <f ca="1">DATEDIF(gym_membership[[#This Row],[birthday]],TODAY(),"y")</f>
        <v>47</v>
      </c>
      <c r="E531">
        <v>45</v>
      </c>
      <c r="F531" t="s">
        <v>18</v>
      </c>
      <c r="G531">
        <v>3</v>
      </c>
      <c r="H531" t="s">
        <v>142</v>
      </c>
      <c r="I531" t="s">
        <v>44</v>
      </c>
      <c r="J531" t="s">
        <v>26</v>
      </c>
      <c r="K531" t="s">
        <v>57</v>
      </c>
      <c r="N531" t="b">
        <v>1</v>
      </c>
      <c r="O531" t="s">
        <v>182</v>
      </c>
      <c r="P531" t="s">
        <v>120</v>
      </c>
      <c r="Q531" t="s">
        <v>41</v>
      </c>
      <c r="S531" s="1">
        <v>0.83263888888888893</v>
      </c>
      <c r="T531" s="1">
        <v>0.87291666666666667</v>
      </c>
      <c r="U531">
        <v>58</v>
      </c>
      <c r="V531" t="b">
        <v>1</v>
      </c>
      <c r="W531" t="s">
        <v>241</v>
      </c>
      <c r="X531" t="s">
        <v>39</v>
      </c>
      <c r="Y531" t="s">
        <v>59</v>
      </c>
      <c r="Z531" t="b">
        <v>0</v>
      </c>
      <c r="AA531" t="s">
        <v>456</v>
      </c>
      <c r="AB531" t="b">
        <v>1</v>
      </c>
      <c r="AD531" s="2"/>
    </row>
    <row r="532" spans="1:30" x14ac:dyDescent="0.25">
      <c r="A532">
        <v>531</v>
      </c>
      <c r="B532" t="s">
        <v>25</v>
      </c>
      <c r="C532" s="3">
        <v>34130</v>
      </c>
      <c r="D532" s="2">
        <f ca="1">DATEDIF(gym_membership[[#This Row],[birthday]],TODAY(),"y")</f>
        <v>33</v>
      </c>
      <c r="E532">
        <v>31</v>
      </c>
      <c r="F532" t="s">
        <v>18</v>
      </c>
      <c r="G532">
        <v>2</v>
      </c>
      <c r="H532" t="s">
        <v>119</v>
      </c>
      <c r="I532" t="s">
        <v>44</v>
      </c>
      <c r="J532" t="s">
        <v>57</v>
      </c>
      <c r="N532" t="b">
        <v>1</v>
      </c>
      <c r="O532" t="s">
        <v>120</v>
      </c>
      <c r="P532" t="s">
        <v>120</v>
      </c>
      <c r="S532" s="1">
        <v>0.61875000000000002</v>
      </c>
      <c r="T532" s="1">
        <v>0.73888888888888893</v>
      </c>
      <c r="U532">
        <v>173</v>
      </c>
      <c r="V532" t="b">
        <v>0</v>
      </c>
      <c r="W532" t="s">
        <v>21</v>
      </c>
      <c r="Z532" t="b">
        <v>1</v>
      </c>
      <c r="AA532" t="s">
        <v>29</v>
      </c>
      <c r="AB532" t="b">
        <v>1</v>
      </c>
      <c r="AD532" s="2"/>
    </row>
    <row r="533" spans="1:30" x14ac:dyDescent="0.25">
      <c r="A533">
        <v>532</v>
      </c>
      <c r="B533" t="s">
        <v>25</v>
      </c>
      <c r="C533" s="3">
        <v>28031</v>
      </c>
      <c r="D533" s="2">
        <f ca="1">DATEDIF(gym_membership[[#This Row],[birthday]],TODAY(),"y")</f>
        <v>49</v>
      </c>
      <c r="E533">
        <v>48</v>
      </c>
      <c r="F533" t="s">
        <v>18</v>
      </c>
      <c r="G533">
        <v>4</v>
      </c>
      <c r="H533" t="s">
        <v>329</v>
      </c>
      <c r="I533" t="s">
        <v>34</v>
      </c>
      <c r="J533" t="s">
        <v>94</v>
      </c>
      <c r="K533" t="s">
        <v>95</v>
      </c>
      <c r="L533" t="s">
        <v>57</v>
      </c>
      <c r="N533" t="b">
        <v>1</v>
      </c>
      <c r="O533" t="s">
        <v>41</v>
      </c>
      <c r="P533" t="s">
        <v>41</v>
      </c>
      <c r="S533" s="1">
        <v>0.6694444444444444</v>
      </c>
      <c r="T533" s="1">
        <v>0.7729166666666667</v>
      </c>
      <c r="U533">
        <v>149</v>
      </c>
      <c r="V533" t="b">
        <v>0</v>
      </c>
      <c r="W533" t="s">
        <v>21</v>
      </c>
      <c r="Z533" t="b">
        <v>1</v>
      </c>
      <c r="AA533" t="s">
        <v>24</v>
      </c>
      <c r="AB533" t="b">
        <v>0</v>
      </c>
      <c r="AD533" s="2"/>
    </row>
    <row r="534" spans="1:30" x14ac:dyDescent="0.25">
      <c r="A534">
        <v>533</v>
      </c>
      <c r="B534" t="s">
        <v>17</v>
      </c>
      <c r="C534" s="3">
        <v>31288</v>
      </c>
      <c r="D534" s="2">
        <f ca="1">DATEDIF(gym_membership[[#This Row],[birthday]],TODAY(),"y")</f>
        <v>41</v>
      </c>
      <c r="E534">
        <v>39</v>
      </c>
      <c r="F534" t="s">
        <v>18</v>
      </c>
      <c r="G534">
        <v>4</v>
      </c>
      <c r="H534" t="s">
        <v>53</v>
      </c>
      <c r="I534" t="s">
        <v>34</v>
      </c>
      <c r="J534" t="s">
        <v>95</v>
      </c>
      <c r="K534" t="s">
        <v>57</v>
      </c>
      <c r="L534" t="s">
        <v>77</v>
      </c>
      <c r="N534" t="b">
        <v>0</v>
      </c>
      <c r="O534" t="s">
        <v>21</v>
      </c>
      <c r="S534" s="1">
        <v>0.79027777777777775</v>
      </c>
      <c r="T534" s="1">
        <v>0.86319444444444449</v>
      </c>
      <c r="U534">
        <v>105</v>
      </c>
      <c r="V534" t="b">
        <v>0</v>
      </c>
      <c r="W534" t="s">
        <v>21</v>
      </c>
      <c r="Z534" t="b">
        <v>0</v>
      </c>
      <c r="AA534" t="s">
        <v>456</v>
      </c>
      <c r="AB534" t="b">
        <v>0</v>
      </c>
      <c r="AD534" s="2"/>
    </row>
    <row r="535" spans="1:30" x14ac:dyDescent="0.25">
      <c r="A535">
        <v>534</v>
      </c>
      <c r="B535" t="s">
        <v>25</v>
      </c>
      <c r="C535" s="3">
        <v>35095</v>
      </c>
      <c r="D535" s="2">
        <f ca="1">DATEDIF(gym_membership[[#This Row],[birthday]],TODAY(),"y")</f>
        <v>30</v>
      </c>
      <c r="E535">
        <v>28</v>
      </c>
      <c r="F535" t="s">
        <v>22</v>
      </c>
      <c r="G535">
        <v>5</v>
      </c>
      <c r="H535" t="s">
        <v>330</v>
      </c>
      <c r="I535" t="s">
        <v>44</v>
      </c>
      <c r="J535" t="s">
        <v>34</v>
      </c>
      <c r="K535" t="s">
        <v>26</v>
      </c>
      <c r="L535" t="s">
        <v>57</v>
      </c>
      <c r="M535" t="s">
        <v>77</v>
      </c>
      <c r="N535" t="b">
        <v>0</v>
      </c>
      <c r="O535" t="s">
        <v>21</v>
      </c>
      <c r="S535" s="1">
        <v>0.62013888888888891</v>
      </c>
      <c r="T535" s="1">
        <v>0.70347222222222228</v>
      </c>
      <c r="U535">
        <v>120</v>
      </c>
      <c r="V535" t="b">
        <v>1</v>
      </c>
      <c r="W535" t="s">
        <v>65</v>
      </c>
      <c r="X535" t="s">
        <v>65</v>
      </c>
      <c r="Z535" t="b">
        <v>0</v>
      </c>
      <c r="AA535" t="s">
        <v>456</v>
      </c>
      <c r="AB535" t="b">
        <v>0</v>
      </c>
      <c r="AD535" s="2"/>
    </row>
    <row r="536" spans="1:30" x14ac:dyDescent="0.25">
      <c r="A536">
        <v>535</v>
      </c>
      <c r="B536" t="s">
        <v>25</v>
      </c>
      <c r="C536" s="3">
        <v>38985</v>
      </c>
      <c r="D536" s="2">
        <f ca="1">DATEDIF(gym_membership[[#This Row],[birthday]],TODAY(),"y")</f>
        <v>19</v>
      </c>
      <c r="E536">
        <v>18</v>
      </c>
      <c r="F536" t="s">
        <v>18</v>
      </c>
      <c r="G536">
        <v>3</v>
      </c>
      <c r="H536" t="s">
        <v>214</v>
      </c>
      <c r="I536" t="s">
        <v>34</v>
      </c>
      <c r="J536" t="s">
        <v>26</v>
      </c>
      <c r="K536" t="s">
        <v>57</v>
      </c>
      <c r="N536" t="b">
        <v>1</v>
      </c>
      <c r="O536" t="s">
        <v>255</v>
      </c>
      <c r="P536" t="s">
        <v>41</v>
      </c>
      <c r="Q536" t="s">
        <v>67</v>
      </c>
      <c r="S536" s="1">
        <v>0.74027777777777781</v>
      </c>
      <c r="T536" s="1">
        <v>0.85347222222222219</v>
      </c>
      <c r="U536">
        <v>163</v>
      </c>
      <c r="V536" t="b">
        <v>0</v>
      </c>
      <c r="W536" t="s">
        <v>21</v>
      </c>
      <c r="Z536" t="b">
        <v>1</v>
      </c>
      <c r="AA536" t="s">
        <v>43</v>
      </c>
      <c r="AB536" t="b">
        <v>0</v>
      </c>
      <c r="AD536" s="2"/>
    </row>
    <row r="537" spans="1:30" x14ac:dyDescent="0.25">
      <c r="A537">
        <v>536</v>
      </c>
      <c r="B537" t="s">
        <v>25</v>
      </c>
      <c r="C537" s="3">
        <v>32227</v>
      </c>
      <c r="D537" s="2">
        <f ca="1">DATEDIF(gym_membership[[#This Row],[birthday]],TODAY(),"y")</f>
        <v>38</v>
      </c>
      <c r="E537">
        <v>36</v>
      </c>
      <c r="F537" t="s">
        <v>18</v>
      </c>
      <c r="G537">
        <v>3</v>
      </c>
      <c r="H537" t="s">
        <v>142</v>
      </c>
      <c r="I537" t="s">
        <v>44</v>
      </c>
      <c r="J537" t="s">
        <v>26</v>
      </c>
      <c r="K537" t="s">
        <v>57</v>
      </c>
      <c r="N537" t="b">
        <v>0</v>
      </c>
      <c r="O537" t="s">
        <v>21</v>
      </c>
      <c r="S537" s="1">
        <v>0.67013888888888884</v>
      </c>
      <c r="T537" s="1">
        <v>0.7631944444444444</v>
      </c>
      <c r="U537">
        <v>134</v>
      </c>
      <c r="V537" t="b">
        <v>0</v>
      </c>
      <c r="W537" t="s">
        <v>21</v>
      </c>
      <c r="Z537" t="b">
        <v>0</v>
      </c>
      <c r="AA537" t="s">
        <v>456</v>
      </c>
      <c r="AB537" t="b">
        <v>1</v>
      </c>
      <c r="AD537" s="2"/>
    </row>
    <row r="538" spans="1:30" x14ac:dyDescent="0.25">
      <c r="A538">
        <v>537</v>
      </c>
      <c r="B538" t="s">
        <v>17</v>
      </c>
      <c r="C538" s="3">
        <v>35782</v>
      </c>
      <c r="D538" s="2">
        <f ca="1">DATEDIF(gym_membership[[#This Row],[birthday]],TODAY(),"y")</f>
        <v>28</v>
      </c>
      <c r="E538">
        <v>26</v>
      </c>
      <c r="F538" t="s">
        <v>22</v>
      </c>
      <c r="G538">
        <v>3</v>
      </c>
      <c r="H538" t="s">
        <v>149</v>
      </c>
      <c r="I538" t="s">
        <v>26</v>
      </c>
      <c r="J538" t="s">
        <v>94</v>
      </c>
      <c r="K538" t="s">
        <v>77</v>
      </c>
      <c r="N538" t="b">
        <v>1</v>
      </c>
      <c r="O538" t="s">
        <v>41</v>
      </c>
      <c r="P538" t="s">
        <v>41</v>
      </c>
      <c r="S538" s="1">
        <v>0.43194444444444446</v>
      </c>
      <c r="T538" s="1">
        <v>0.48333333333333334</v>
      </c>
      <c r="U538">
        <v>74</v>
      </c>
      <c r="V538" t="b">
        <v>0</v>
      </c>
      <c r="W538" t="s">
        <v>21</v>
      </c>
      <c r="Z538" t="b">
        <v>1</v>
      </c>
      <c r="AA538" t="s">
        <v>24</v>
      </c>
      <c r="AB538" t="b">
        <v>0</v>
      </c>
      <c r="AD538" s="2"/>
    </row>
    <row r="539" spans="1:30" x14ac:dyDescent="0.25">
      <c r="A539">
        <v>538</v>
      </c>
      <c r="B539" t="s">
        <v>25</v>
      </c>
      <c r="C539" s="3">
        <v>29398</v>
      </c>
      <c r="D539" s="2">
        <f ca="1">DATEDIF(gym_membership[[#This Row],[birthday]],TODAY(),"y")</f>
        <v>46</v>
      </c>
      <c r="E539">
        <v>44</v>
      </c>
      <c r="F539" t="s">
        <v>18</v>
      </c>
      <c r="G539">
        <v>2</v>
      </c>
      <c r="H539" t="s">
        <v>133</v>
      </c>
      <c r="I539" t="s">
        <v>34</v>
      </c>
      <c r="J539" t="s">
        <v>94</v>
      </c>
      <c r="N539" t="b">
        <v>0</v>
      </c>
      <c r="O539" t="s">
        <v>21</v>
      </c>
      <c r="S539" s="1">
        <v>0.34027777777777779</v>
      </c>
      <c r="T539" s="1">
        <v>0.41458333333333336</v>
      </c>
      <c r="U539">
        <v>107</v>
      </c>
      <c r="V539" t="b">
        <v>1</v>
      </c>
      <c r="W539" t="s">
        <v>59</v>
      </c>
      <c r="X539" t="s">
        <v>59</v>
      </c>
      <c r="Z539" t="b">
        <v>1</v>
      </c>
      <c r="AA539" t="s">
        <v>43</v>
      </c>
      <c r="AB539" t="b">
        <v>1</v>
      </c>
      <c r="AD539" s="2"/>
    </row>
    <row r="540" spans="1:30" x14ac:dyDescent="0.25">
      <c r="A540">
        <v>539</v>
      </c>
      <c r="B540" t="s">
        <v>25</v>
      </c>
      <c r="C540" s="3">
        <v>41139</v>
      </c>
      <c r="D540" s="2">
        <f ca="1">DATEDIF(gym_membership[[#This Row],[birthday]],TODAY(),"y")</f>
        <v>14</v>
      </c>
      <c r="E540">
        <v>12</v>
      </c>
      <c r="F540" t="s">
        <v>18</v>
      </c>
      <c r="G540">
        <v>1</v>
      </c>
      <c r="H540" t="s">
        <v>57</v>
      </c>
      <c r="I540" t="s">
        <v>57</v>
      </c>
      <c r="N540" t="b">
        <v>1</v>
      </c>
      <c r="O540" t="s">
        <v>288</v>
      </c>
      <c r="P540" t="s">
        <v>27</v>
      </c>
      <c r="Q540" t="s">
        <v>100</v>
      </c>
      <c r="S540" s="1">
        <v>0.71388888888888891</v>
      </c>
      <c r="T540" s="1">
        <v>0.80972222222222223</v>
      </c>
      <c r="U540">
        <v>138</v>
      </c>
      <c r="V540" t="b">
        <v>0</v>
      </c>
      <c r="W540" t="s">
        <v>21</v>
      </c>
      <c r="Z540" t="b">
        <v>0</v>
      </c>
      <c r="AA540" t="s">
        <v>456</v>
      </c>
      <c r="AB540" t="b">
        <v>0</v>
      </c>
      <c r="AD540" s="2"/>
    </row>
    <row r="541" spans="1:30" x14ac:dyDescent="0.25">
      <c r="A541">
        <v>540</v>
      </c>
      <c r="B541" t="s">
        <v>25</v>
      </c>
      <c r="C541" s="3">
        <v>36568</v>
      </c>
      <c r="D541" s="2">
        <f ca="1">DATEDIF(gym_membership[[#This Row],[birthday]],TODAY(),"y")</f>
        <v>26</v>
      </c>
      <c r="E541">
        <v>24</v>
      </c>
      <c r="F541" t="s">
        <v>22</v>
      </c>
      <c r="G541">
        <v>1</v>
      </c>
      <c r="H541" t="s">
        <v>95</v>
      </c>
      <c r="I541" t="s">
        <v>95</v>
      </c>
      <c r="N541" t="b">
        <v>1</v>
      </c>
      <c r="O541" t="s">
        <v>246</v>
      </c>
      <c r="P541" t="s">
        <v>103</v>
      </c>
      <c r="Q541" t="s">
        <v>120</v>
      </c>
      <c r="S541" s="1">
        <v>0.37361111111111112</v>
      </c>
      <c r="T541" s="1">
        <v>0.49513888888888891</v>
      </c>
      <c r="U541">
        <v>175</v>
      </c>
      <c r="V541" t="b">
        <v>0</v>
      </c>
      <c r="W541" t="s">
        <v>21</v>
      </c>
      <c r="Z541" t="b">
        <v>1</v>
      </c>
      <c r="AA541" t="s">
        <v>45</v>
      </c>
      <c r="AB541" t="b">
        <v>1</v>
      </c>
      <c r="AD541" s="2"/>
    </row>
    <row r="542" spans="1:30" x14ac:dyDescent="0.25">
      <c r="A542">
        <v>541</v>
      </c>
      <c r="B542" t="s">
        <v>25</v>
      </c>
      <c r="C542" s="3">
        <v>28007</v>
      </c>
      <c r="D542" s="2">
        <f ca="1">DATEDIF(gym_membership[[#This Row],[birthday]],TODAY(),"y")</f>
        <v>49</v>
      </c>
      <c r="E542">
        <v>48</v>
      </c>
      <c r="F542" t="s">
        <v>18</v>
      </c>
      <c r="G542">
        <v>2</v>
      </c>
      <c r="H542" t="s">
        <v>289</v>
      </c>
      <c r="I542" t="s">
        <v>34</v>
      </c>
      <c r="J542" t="s">
        <v>95</v>
      </c>
      <c r="N542" t="b">
        <v>0</v>
      </c>
      <c r="O542" t="s">
        <v>21</v>
      </c>
      <c r="S542" s="1">
        <v>0.70763888888888893</v>
      </c>
      <c r="T542" s="1">
        <v>0.76249999999999996</v>
      </c>
      <c r="U542">
        <v>79</v>
      </c>
      <c r="V542" t="b">
        <v>0</v>
      </c>
      <c r="W542" t="s">
        <v>21</v>
      </c>
      <c r="Z542" t="b">
        <v>0</v>
      </c>
      <c r="AA542" t="s">
        <v>456</v>
      </c>
      <c r="AB542" t="b">
        <v>0</v>
      </c>
      <c r="AD542" s="2"/>
    </row>
    <row r="543" spans="1:30" x14ac:dyDescent="0.25">
      <c r="A543">
        <v>542</v>
      </c>
      <c r="B543" t="s">
        <v>17</v>
      </c>
      <c r="C543" s="3">
        <v>40827</v>
      </c>
      <c r="D543" s="2">
        <f ca="1">DATEDIF(gym_membership[[#This Row],[birthday]],TODAY(),"y")</f>
        <v>14</v>
      </c>
      <c r="E543">
        <v>13</v>
      </c>
      <c r="F543" t="s">
        <v>18</v>
      </c>
      <c r="G543">
        <v>1</v>
      </c>
      <c r="H543" t="s">
        <v>26</v>
      </c>
      <c r="I543" t="s">
        <v>26</v>
      </c>
      <c r="N543" t="b">
        <v>1</v>
      </c>
      <c r="O543" t="s">
        <v>215</v>
      </c>
      <c r="P543" t="s">
        <v>27</v>
      </c>
      <c r="Q543" t="s">
        <v>41</v>
      </c>
      <c r="S543" s="1">
        <v>0.49652777777777779</v>
      </c>
      <c r="T543" s="1">
        <v>0.53819444444444442</v>
      </c>
      <c r="U543">
        <v>60</v>
      </c>
      <c r="V543" t="b">
        <v>0</v>
      </c>
      <c r="W543" t="s">
        <v>21</v>
      </c>
      <c r="Z543" t="b">
        <v>0</v>
      </c>
      <c r="AA543" t="s">
        <v>456</v>
      </c>
      <c r="AB543" t="b">
        <v>1</v>
      </c>
      <c r="AD543" s="2"/>
    </row>
    <row r="544" spans="1:30" x14ac:dyDescent="0.25">
      <c r="A544">
        <v>543</v>
      </c>
      <c r="B544" t="s">
        <v>17</v>
      </c>
      <c r="C544" s="3">
        <v>34914</v>
      </c>
      <c r="D544" s="2">
        <f ca="1">DATEDIF(gym_membership[[#This Row],[birthday]],TODAY(),"y")</f>
        <v>31</v>
      </c>
      <c r="E544">
        <v>29</v>
      </c>
      <c r="F544" t="s">
        <v>22</v>
      </c>
      <c r="G544">
        <v>2</v>
      </c>
      <c r="H544" t="s">
        <v>228</v>
      </c>
      <c r="I544" t="s">
        <v>44</v>
      </c>
      <c r="J544" t="s">
        <v>95</v>
      </c>
      <c r="N544" t="b">
        <v>0</v>
      </c>
      <c r="O544" t="s">
        <v>21</v>
      </c>
      <c r="S544" s="1">
        <v>0.61458333333333337</v>
      </c>
      <c r="T544" s="1">
        <v>0.69652777777777775</v>
      </c>
      <c r="U544">
        <v>118</v>
      </c>
      <c r="V544" t="b">
        <v>1</v>
      </c>
      <c r="W544" t="s">
        <v>39</v>
      </c>
      <c r="X544" t="s">
        <v>39</v>
      </c>
      <c r="Z544" t="b">
        <v>1</v>
      </c>
      <c r="AA544" t="s">
        <v>43</v>
      </c>
      <c r="AB544" t="b">
        <v>1</v>
      </c>
      <c r="AD544" s="2"/>
    </row>
    <row r="545" spans="1:30" x14ac:dyDescent="0.25">
      <c r="A545">
        <v>544</v>
      </c>
      <c r="B545" t="s">
        <v>17</v>
      </c>
      <c r="C545" s="3">
        <v>41173</v>
      </c>
      <c r="D545" s="2">
        <f ca="1">DATEDIF(gym_membership[[#This Row],[birthday]],TODAY(),"y")</f>
        <v>13</v>
      </c>
      <c r="E545">
        <v>12</v>
      </c>
      <c r="F545" t="s">
        <v>18</v>
      </c>
      <c r="G545">
        <v>2</v>
      </c>
      <c r="H545" t="s">
        <v>66</v>
      </c>
      <c r="I545" t="s">
        <v>34</v>
      </c>
      <c r="J545" t="s">
        <v>57</v>
      </c>
      <c r="N545" t="b">
        <v>1</v>
      </c>
      <c r="O545" t="s">
        <v>331</v>
      </c>
      <c r="P545" t="s">
        <v>96</v>
      </c>
      <c r="Q545" t="s">
        <v>67</v>
      </c>
      <c r="S545" s="1">
        <v>0.40902777777777777</v>
      </c>
      <c r="T545" s="1">
        <v>0.47916666666666669</v>
      </c>
      <c r="U545">
        <v>101</v>
      </c>
      <c r="V545" t="b">
        <v>0</v>
      </c>
      <c r="W545" t="s">
        <v>21</v>
      </c>
      <c r="Z545" t="b">
        <v>1</v>
      </c>
      <c r="AA545" t="s">
        <v>45</v>
      </c>
      <c r="AB545" t="b">
        <v>0</v>
      </c>
      <c r="AD545" s="2"/>
    </row>
    <row r="546" spans="1:30" x14ac:dyDescent="0.25">
      <c r="A546">
        <v>545</v>
      </c>
      <c r="B546" t="s">
        <v>17</v>
      </c>
      <c r="C546" s="3">
        <v>31930</v>
      </c>
      <c r="D546" s="2">
        <f ca="1">DATEDIF(gym_membership[[#This Row],[birthday]],TODAY(),"y")</f>
        <v>39</v>
      </c>
      <c r="E546">
        <v>37</v>
      </c>
      <c r="F546" t="s">
        <v>18</v>
      </c>
      <c r="G546">
        <v>1</v>
      </c>
      <c r="H546" t="s">
        <v>77</v>
      </c>
      <c r="I546" t="s">
        <v>77</v>
      </c>
      <c r="N546" t="b">
        <v>1</v>
      </c>
      <c r="O546" t="s">
        <v>332</v>
      </c>
      <c r="P546" t="s">
        <v>96</v>
      </c>
      <c r="Q546" t="s">
        <v>100</v>
      </c>
      <c r="R546" t="s">
        <v>67</v>
      </c>
      <c r="S546" s="1">
        <v>0.6430555555555556</v>
      </c>
      <c r="T546" s="1">
        <v>0.67708333333333337</v>
      </c>
      <c r="U546">
        <v>49</v>
      </c>
      <c r="V546" t="b">
        <v>1</v>
      </c>
      <c r="W546" t="s">
        <v>31</v>
      </c>
      <c r="X546" t="s">
        <v>31</v>
      </c>
      <c r="Z546" t="b">
        <v>0</v>
      </c>
      <c r="AA546" t="s">
        <v>456</v>
      </c>
      <c r="AB546" t="b">
        <v>0</v>
      </c>
      <c r="AD546" s="2"/>
    </row>
    <row r="547" spans="1:30" x14ac:dyDescent="0.25">
      <c r="A547">
        <v>546</v>
      </c>
      <c r="B547" t="s">
        <v>17</v>
      </c>
      <c r="C547" s="3">
        <v>37929</v>
      </c>
      <c r="D547" s="2">
        <f ca="1">DATEDIF(gym_membership[[#This Row],[birthday]],TODAY(),"y")</f>
        <v>22</v>
      </c>
      <c r="E547">
        <v>20</v>
      </c>
      <c r="F547" t="s">
        <v>22</v>
      </c>
      <c r="G547">
        <v>1</v>
      </c>
      <c r="H547" t="s">
        <v>57</v>
      </c>
      <c r="I547" t="s">
        <v>57</v>
      </c>
      <c r="N547" t="b">
        <v>0</v>
      </c>
      <c r="O547" t="s">
        <v>21</v>
      </c>
      <c r="S547" s="1">
        <v>0.37152777777777779</v>
      </c>
      <c r="T547" s="1">
        <v>0.43263888888888891</v>
      </c>
      <c r="U547">
        <v>88</v>
      </c>
      <c r="V547" t="b">
        <v>1</v>
      </c>
      <c r="W547" t="s">
        <v>73</v>
      </c>
      <c r="X547" t="s">
        <v>76</v>
      </c>
      <c r="Y547" t="s">
        <v>31</v>
      </c>
      <c r="Z547" t="b">
        <v>1</v>
      </c>
      <c r="AA547" t="s">
        <v>45</v>
      </c>
      <c r="AB547" t="b">
        <v>1</v>
      </c>
      <c r="AD547" s="2"/>
    </row>
    <row r="548" spans="1:30" x14ac:dyDescent="0.25">
      <c r="A548">
        <v>547</v>
      </c>
      <c r="B548" t="s">
        <v>25</v>
      </c>
      <c r="C548" s="3">
        <v>37507</v>
      </c>
      <c r="D548" s="2">
        <f ca="1">DATEDIF(gym_membership[[#This Row],[birthday]],TODAY(),"y")</f>
        <v>23</v>
      </c>
      <c r="E548">
        <v>22</v>
      </c>
      <c r="F548" t="s">
        <v>22</v>
      </c>
      <c r="G548">
        <v>2</v>
      </c>
      <c r="H548" t="s">
        <v>89</v>
      </c>
      <c r="I548" t="s">
        <v>26</v>
      </c>
      <c r="J548" t="s">
        <v>95</v>
      </c>
      <c r="N548" t="b">
        <v>0</v>
      </c>
      <c r="O548" t="s">
        <v>21</v>
      </c>
      <c r="S548" s="1">
        <v>0.67986111111111114</v>
      </c>
      <c r="T548" s="1">
        <v>0.73750000000000004</v>
      </c>
      <c r="U548">
        <v>83</v>
      </c>
      <c r="V548" t="b">
        <v>1</v>
      </c>
      <c r="W548" t="s">
        <v>65</v>
      </c>
      <c r="X548" t="s">
        <v>65</v>
      </c>
      <c r="Z548" t="b">
        <v>0</v>
      </c>
      <c r="AA548" t="s">
        <v>456</v>
      </c>
      <c r="AB548" t="b">
        <v>0</v>
      </c>
      <c r="AD548" s="2"/>
    </row>
    <row r="549" spans="1:30" x14ac:dyDescent="0.25">
      <c r="A549">
        <v>548</v>
      </c>
      <c r="B549" t="s">
        <v>17</v>
      </c>
      <c r="C549" s="3">
        <v>40667</v>
      </c>
      <c r="D549" s="2">
        <f ca="1">DATEDIF(gym_membership[[#This Row],[birthday]],TODAY(),"y")</f>
        <v>15</v>
      </c>
      <c r="E549">
        <v>13</v>
      </c>
      <c r="F549" t="s">
        <v>22</v>
      </c>
      <c r="G549">
        <v>2</v>
      </c>
      <c r="H549" t="s">
        <v>60</v>
      </c>
      <c r="I549" t="s">
        <v>26</v>
      </c>
      <c r="J549" t="s">
        <v>77</v>
      </c>
      <c r="N549" t="b">
        <v>1</v>
      </c>
      <c r="O549" t="s">
        <v>58</v>
      </c>
      <c r="P549" t="s">
        <v>58</v>
      </c>
      <c r="S549" s="1">
        <v>0.69166666666666665</v>
      </c>
      <c r="T549" s="1">
        <v>0.73055555555555551</v>
      </c>
      <c r="U549">
        <v>56</v>
      </c>
      <c r="V549" t="b">
        <v>1</v>
      </c>
      <c r="W549" t="s">
        <v>73</v>
      </c>
      <c r="X549" t="s">
        <v>76</v>
      </c>
      <c r="Y549" t="s">
        <v>31</v>
      </c>
      <c r="Z549" t="b">
        <v>0</v>
      </c>
      <c r="AA549" t="s">
        <v>456</v>
      </c>
      <c r="AB549" t="b">
        <v>0</v>
      </c>
      <c r="AD549" s="2"/>
    </row>
    <row r="550" spans="1:30" x14ac:dyDescent="0.25">
      <c r="A550">
        <v>549</v>
      </c>
      <c r="B550" t="s">
        <v>25</v>
      </c>
      <c r="C550" s="3">
        <v>32720</v>
      </c>
      <c r="D550" s="2">
        <f ca="1">DATEDIF(gym_membership[[#This Row],[birthday]],TODAY(),"y")</f>
        <v>37</v>
      </c>
      <c r="E550">
        <v>35</v>
      </c>
      <c r="F550" t="s">
        <v>18</v>
      </c>
      <c r="G550">
        <v>1</v>
      </c>
      <c r="H550" t="s">
        <v>95</v>
      </c>
      <c r="I550" t="s">
        <v>95</v>
      </c>
      <c r="N550" t="b">
        <v>1</v>
      </c>
      <c r="O550" t="s">
        <v>333</v>
      </c>
      <c r="P550" t="s">
        <v>41</v>
      </c>
      <c r="Q550" t="s">
        <v>128</v>
      </c>
      <c r="R550" t="s">
        <v>100</v>
      </c>
      <c r="S550" s="1">
        <v>0.68541666666666667</v>
      </c>
      <c r="T550" s="1">
        <v>0.72569444444444442</v>
      </c>
      <c r="U550">
        <v>58</v>
      </c>
      <c r="V550" t="b">
        <v>0</v>
      </c>
      <c r="W550" t="s">
        <v>21</v>
      </c>
      <c r="Z550" t="b">
        <v>1</v>
      </c>
      <c r="AA550" t="s">
        <v>43</v>
      </c>
      <c r="AB550" t="b">
        <v>1</v>
      </c>
      <c r="AD550" s="2"/>
    </row>
    <row r="551" spans="1:30" x14ac:dyDescent="0.25">
      <c r="A551">
        <v>550</v>
      </c>
      <c r="B551" t="s">
        <v>17</v>
      </c>
      <c r="C551" s="3">
        <v>38960</v>
      </c>
      <c r="D551" s="2">
        <f ca="1">DATEDIF(gym_membership[[#This Row],[birthday]],TODAY(),"y")</f>
        <v>19</v>
      </c>
      <c r="E551">
        <v>18</v>
      </c>
      <c r="F551" t="s">
        <v>18</v>
      </c>
      <c r="G551">
        <v>1</v>
      </c>
      <c r="H551" t="s">
        <v>26</v>
      </c>
      <c r="I551" t="s">
        <v>26</v>
      </c>
      <c r="N551" t="b">
        <v>0</v>
      </c>
      <c r="O551" t="s">
        <v>21</v>
      </c>
      <c r="S551" s="1">
        <v>0.75069444444444444</v>
      </c>
      <c r="T551" s="1">
        <v>0.77500000000000002</v>
      </c>
      <c r="U551">
        <v>35</v>
      </c>
      <c r="V551" t="b">
        <v>1</v>
      </c>
      <c r="W551" t="s">
        <v>65</v>
      </c>
      <c r="X551" t="s">
        <v>65</v>
      </c>
      <c r="Z551" t="b">
        <v>1</v>
      </c>
      <c r="AA551" t="s">
        <v>43</v>
      </c>
      <c r="AB551" t="b">
        <v>0</v>
      </c>
      <c r="AD551" s="2"/>
    </row>
    <row r="552" spans="1:30" x14ac:dyDescent="0.25">
      <c r="A552">
        <v>551</v>
      </c>
      <c r="B552" t="s">
        <v>17</v>
      </c>
      <c r="C552" s="3">
        <v>32407</v>
      </c>
      <c r="D552" s="2">
        <f ca="1">DATEDIF(gym_membership[[#This Row],[birthday]],TODAY(),"y")</f>
        <v>37</v>
      </c>
      <c r="E552">
        <v>36</v>
      </c>
      <c r="F552" t="s">
        <v>22</v>
      </c>
      <c r="G552">
        <v>2</v>
      </c>
      <c r="H552" t="s">
        <v>133</v>
      </c>
      <c r="I552" t="s">
        <v>34</v>
      </c>
      <c r="J552" t="s">
        <v>94</v>
      </c>
      <c r="N552" t="b">
        <v>0</v>
      </c>
      <c r="O552" t="s">
        <v>21</v>
      </c>
      <c r="S552" s="1">
        <v>0.65138888888888891</v>
      </c>
      <c r="T552" s="1">
        <v>0.73333333333333328</v>
      </c>
      <c r="U552">
        <v>118</v>
      </c>
      <c r="V552" t="b">
        <v>0</v>
      </c>
      <c r="W552" t="s">
        <v>21</v>
      </c>
      <c r="Z552" t="b">
        <v>1</v>
      </c>
      <c r="AA552" t="s">
        <v>29</v>
      </c>
      <c r="AB552" t="b">
        <v>0</v>
      </c>
      <c r="AD552" s="2"/>
    </row>
    <row r="553" spans="1:30" x14ac:dyDescent="0.25">
      <c r="A553">
        <v>552</v>
      </c>
      <c r="B553" t="s">
        <v>17</v>
      </c>
      <c r="C553" s="3">
        <v>31721</v>
      </c>
      <c r="D553" s="2">
        <f ca="1">DATEDIF(gym_membership[[#This Row],[birthday]],TODAY(),"y")</f>
        <v>39</v>
      </c>
      <c r="E553">
        <v>37</v>
      </c>
      <c r="F553" t="s">
        <v>22</v>
      </c>
      <c r="G553">
        <v>1</v>
      </c>
      <c r="H553" t="s">
        <v>94</v>
      </c>
      <c r="I553" t="s">
        <v>94</v>
      </c>
      <c r="N553" t="b">
        <v>1</v>
      </c>
      <c r="O553" t="s">
        <v>100</v>
      </c>
      <c r="P553" t="s">
        <v>100</v>
      </c>
      <c r="S553" s="1">
        <v>0.66319444444444442</v>
      </c>
      <c r="T553" s="1">
        <v>0.68958333333333333</v>
      </c>
      <c r="U553">
        <v>38</v>
      </c>
      <c r="V553" t="b">
        <v>0</v>
      </c>
      <c r="W553" t="s">
        <v>21</v>
      </c>
      <c r="Z553" t="b">
        <v>0</v>
      </c>
      <c r="AA553" t="s">
        <v>456</v>
      </c>
      <c r="AB553" t="b">
        <v>0</v>
      </c>
      <c r="AD553" s="2"/>
    </row>
    <row r="554" spans="1:30" x14ac:dyDescent="0.25">
      <c r="A554">
        <v>553</v>
      </c>
      <c r="B554" t="s">
        <v>25</v>
      </c>
      <c r="C554" s="3">
        <v>31760</v>
      </c>
      <c r="D554" s="2">
        <f ca="1">DATEDIF(gym_membership[[#This Row],[birthday]],TODAY(),"y")</f>
        <v>39</v>
      </c>
      <c r="E554">
        <v>37</v>
      </c>
      <c r="F554" t="s">
        <v>22</v>
      </c>
      <c r="G554">
        <v>3</v>
      </c>
      <c r="H554" t="s">
        <v>46</v>
      </c>
      <c r="I554" t="s">
        <v>44</v>
      </c>
      <c r="J554" t="s">
        <v>95</v>
      </c>
      <c r="K554" t="s">
        <v>77</v>
      </c>
      <c r="N554" t="b">
        <v>1</v>
      </c>
      <c r="O554" t="s">
        <v>334</v>
      </c>
      <c r="P554" t="s">
        <v>120</v>
      </c>
      <c r="Q554" t="s">
        <v>58</v>
      </c>
      <c r="R554" t="s">
        <v>27</v>
      </c>
      <c r="S554" s="1">
        <v>0.76597222222222228</v>
      </c>
      <c r="T554" s="1">
        <v>0.85277777777777775</v>
      </c>
      <c r="U554">
        <v>125</v>
      </c>
      <c r="V554" t="b">
        <v>0</v>
      </c>
      <c r="W554" t="s">
        <v>21</v>
      </c>
      <c r="Z554" t="b">
        <v>0</v>
      </c>
      <c r="AA554" t="s">
        <v>456</v>
      </c>
      <c r="AB554" t="b">
        <v>0</v>
      </c>
      <c r="AD554" s="2"/>
    </row>
    <row r="555" spans="1:30" x14ac:dyDescent="0.25">
      <c r="A555">
        <v>554</v>
      </c>
      <c r="B555" t="s">
        <v>17</v>
      </c>
      <c r="C555" s="3">
        <v>28509</v>
      </c>
      <c r="D555" s="2">
        <f ca="1">DATEDIF(gym_membership[[#This Row],[birthday]],TODAY(),"y")</f>
        <v>48</v>
      </c>
      <c r="E555">
        <v>46</v>
      </c>
      <c r="F555" t="s">
        <v>18</v>
      </c>
      <c r="G555">
        <v>3</v>
      </c>
      <c r="H555" t="s">
        <v>56</v>
      </c>
      <c r="I555" t="s">
        <v>26</v>
      </c>
      <c r="J555" t="s">
        <v>95</v>
      </c>
      <c r="K555" t="s">
        <v>57</v>
      </c>
      <c r="N555" t="b">
        <v>1</v>
      </c>
      <c r="O555" t="s">
        <v>279</v>
      </c>
      <c r="P555" t="s">
        <v>41</v>
      </c>
      <c r="Q555" t="s">
        <v>91</v>
      </c>
      <c r="S555" s="1">
        <v>0.76041666666666663</v>
      </c>
      <c r="T555" s="1">
        <v>0.84027777777777779</v>
      </c>
      <c r="U555">
        <v>115</v>
      </c>
      <c r="V555" t="b">
        <v>0</v>
      </c>
      <c r="W555" t="s">
        <v>21</v>
      </c>
      <c r="Z555" t="b">
        <v>1</v>
      </c>
      <c r="AA555" t="s">
        <v>43</v>
      </c>
      <c r="AB555" t="b">
        <v>1</v>
      </c>
      <c r="AD555" s="2"/>
    </row>
    <row r="556" spans="1:30" x14ac:dyDescent="0.25">
      <c r="A556">
        <v>555</v>
      </c>
      <c r="B556" t="s">
        <v>25</v>
      </c>
      <c r="C556" s="3">
        <v>31194</v>
      </c>
      <c r="D556" s="2">
        <f ca="1">DATEDIF(gym_membership[[#This Row],[birthday]],TODAY(),"y")</f>
        <v>41</v>
      </c>
      <c r="E556">
        <v>39</v>
      </c>
      <c r="F556" t="s">
        <v>18</v>
      </c>
      <c r="G556">
        <v>4</v>
      </c>
      <c r="H556" t="s">
        <v>287</v>
      </c>
      <c r="I556" t="s">
        <v>34</v>
      </c>
      <c r="J556" t="s">
        <v>94</v>
      </c>
      <c r="K556" t="s">
        <v>57</v>
      </c>
      <c r="L556" t="s">
        <v>77</v>
      </c>
      <c r="N556" t="b">
        <v>1</v>
      </c>
      <c r="O556" t="s">
        <v>41</v>
      </c>
      <c r="P556" t="s">
        <v>41</v>
      </c>
      <c r="S556" s="1">
        <v>0.80694444444444446</v>
      </c>
      <c r="T556" s="1">
        <v>0.88749999999999996</v>
      </c>
      <c r="U556">
        <v>116</v>
      </c>
      <c r="V556" t="b">
        <v>1</v>
      </c>
      <c r="W556" t="s">
        <v>68</v>
      </c>
      <c r="X556" t="s">
        <v>31</v>
      </c>
      <c r="Y556" t="s">
        <v>59</v>
      </c>
      <c r="Z556" t="b">
        <v>0</v>
      </c>
      <c r="AA556" t="s">
        <v>456</v>
      </c>
      <c r="AB556" t="b">
        <v>0</v>
      </c>
      <c r="AD556" s="2"/>
    </row>
    <row r="557" spans="1:30" x14ac:dyDescent="0.25">
      <c r="A557">
        <v>556</v>
      </c>
      <c r="B557" t="s">
        <v>17</v>
      </c>
      <c r="C557" s="3">
        <v>31157</v>
      </c>
      <c r="D557" s="2">
        <f ca="1">DATEDIF(gym_membership[[#This Row],[birthday]],TODAY(),"y")</f>
        <v>41</v>
      </c>
      <c r="E557">
        <v>39</v>
      </c>
      <c r="F557" t="s">
        <v>22</v>
      </c>
      <c r="G557">
        <v>2</v>
      </c>
      <c r="H557" t="s">
        <v>156</v>
      </c>
      <c r="I557" t="s">
        <v>44</v>
      </c>
      <c r="J557" t="s">
        <v>77</v>
      </c>
      <c r="N557" t="b">
        <v>0</v>
      </c>
      <c r="O557" t="s">
        <v>21</v>
      </c>
      <c r="S557" s="1">
        <v>0.43888888888888888</v>
      </c>
      <c r="T557" s="1">
        <v>0.51944444444444449</v>
      </c>
      <c r="U557">
        <v>116</v>
      </c>
      <c r="V557" t="b">
        <v>0</v>
      </c>
      <c r="W557" t="s">
        <v>21</v>
      </c>
      <c r="Z557" t="b">
        <v>0</v>
      </c>
      <c r="AA557" t="s">
        <v>456</v>
      </c>
      <c r="AB557" t="b">
        <v>1</v>
      </c>
      <c r="AD557" s="2"/>
    </row>
    <row r="558" spans="1:30" x14ac:dyDescent="0.25">
      <c r="A558">
        <v>557</v>
      </c>
      <c r="B558" t="s">
        <v>17</v>
      </c>
      <c r="C558" s="3">
        <v>31862</v>
      </c>
      <c r="D558" s="2">
        <f ca="1">DATEDIF(gym_membership[[#This Row],[birthday]],TODAY(),"y")</f>
        <v>39</v>
      </c>
      <c r="E558">
        <v>37</v>
      </c>
      <c r="F558" t="s">
        <v>22</v>
      </c>
      <c r="G558">
        <v>1</v>
      </c>
      <c r="H558" t="s">
        <v>44</v>
      </c>
      <c r="I558" t="s">
        <v>44</v>
      </c>
      <c r="N558" t="b">
        <v>1</v>
      </c>
      <c r="O558" t="s">
        <v>335</v>
      </c>
      <c r="P558" t="s">
        <v>91</v>
      </c>
      <c r="Q558" t="s">
        <v>103</v>
      </c>
      <c r="S558" s="1">
        <v>0.44166666666666665</v>
      </c>
      <c r="T558" s="1">
        <v>0.49722222222222223</v>
      </c>
      <c r="U558">
        <v>80</v>
      </c>
      <c r="V558" t="b">
        <v>1</v>
      </c>
      <c r="W558" t="s">
        <v>39</v>
      </c>
      <c r="X558" t="s">
        <v>39</v>
      </c>
      <c r="Z558" t="b">
        <v>0</v>
      </c>
      <c r="AA558" t="s">
        <v>456</v>
      </c>
      <c r="AB558" t="b">
        <v>1</v>
      </c>
      <c r="AD558" s="2"/>
    </row>
    <row r="559" spans="1:30" x14ac:dyDescent="0.25">
      <c r="A559">
        <v>558</v>
      </c>
      <c r="B559" t="s">
        <v>25</v>
      </c>
      <c r="C559" s="3">
        <v>27724</v>
      </c>
      <c r="D559" s="2">
        <f ca="1">DATEDIF(gym_membership[[#This Row],[birthday]],TODAY(),"y")</f>
        <v>50</v>
      </c>
      <c r="E559">
        <v>48</v>
      </c>
      <c r="F559" t="s">
        <v>22</v>
      </c>
      <c r="G559">
        <v>3</v>
      </c>
      <c r="H559" t="s">
        <v>50</v>
      </c>
      <c r="I559" t="s">
        <v>34</v>
      </c>
      <c r="J559" t="s">
        <v>57</v>
      </c>
      <c r="K559" t="s">
        <v>77</v>
      </c>
      <c r="N559" t="b">
        <v>0</v>
      </c>
      <c r="O559" t="s">
        <v>21</v>
      </c>
      <c r="S559" s="1">
        <v>0.64722222222222225</v>
      </c>
      <c r="T559" s="1">
        <v>0.68402777777777779</v>
      </c>
      <c r="U559">
        <v>53</v>
      </c>
      <c r="V559" t="b">
        <v>1</v>
      </c>
      <c r="W559" t="s">
        <v>31</v>
      </c>
      <c r="X559" t="s">
        <v>31</v>
      </c>
      <c r="Z559" t="b">
        <v>1</v>
      </c>
      <c r="AA559" t="s">
        <v>45</v>
      </c>
      <c r="AB559" t="b">
        <v>1</v>
      </c>
      <c r="AD559" s="2"/>
    </row>
    <row r="560" spans="1:30" x14ac:dyDescent="0.25">
      <c r="A560">
        <v>559</v>
      </c>
      <c r="B560" t="s">
        <v>17</v>
      </c>
      <c r="C560" s="3">
        <v>28710</v>
      </c>
      <c r="D560" s="2">
        <f ca="1">DATEDIF(gym_membership[[#This Row],[birthday]],TODAY(),"y")</f>
        <v>48</v>
      </c>
      <c r="E560">
        <v>46</v>
      </c>
      <c r="F560" t="s">
        <v>18</v>
      </c>
      <c r="G560">
        <v>2</v>
      </c>
      <c r="H560" t="s">
        <v>66</v>
      </c>
      <c r="I560" t="s">
        <v>34</v>
      </c>
      <c r="J560" t="s">
        <v>57</v>
      </c>
      <c r="N560" t="b">
        <v>0</v>
      </c>
      <c r="O560" t="s">
        <v>21</v>
      </c>
      <c r="S560" s="1">
        <v>0.74583333333333335</v>
      </c>
      <c r="T560" s="1">
        <v>0.80347222222222225</v>
      </c>
      <c r="U560">
        <v>83</v>
      </c>
      <c r="V560" t="b">
        <v>0</v>
      </c>
      <c r="W560" t="s">
        <v>21</v>
      </c>
      <c r="Z560" t="b">
        <v>0</v>
      </c>
      <c r="AA560" t="s">
        <v>456</v>
      </c>
      <c r="AB560" t="b">
        <v>1</v>
      </c>
      <c r="AD560" s="2"/>
    </row>
    <row r="561" spans="1:30" x14ac:dyDescent="0.25">
      <c r="A561">
        <v>560</v>
      </c>
      <c r="B561" t="s">
        <v>17</v>
      </c>
      <c r="C561" s="3">
        <v>29049</v>
      </c>
      <c r="D561" s="2">
        <f ca="1">DATEDIF(gym_membership[[#This Row],[birthday]],TODAY(),"y")</f>
        <v>47</v>
      </c>
      <c r="E561">
        <v>45</v>
      </c>
      <c r="F561" t="s">
        <v>22</v>
      </c>
      <c r="G561">
        <v>2</v>
      </c>
      <c r="H561" t="s">
        <v>32</v>
      </c>
      <c r="I561" t="s">
        <v>95</v>
      </c>
      <c r="J561" t="s">
        <v>77</v>
      </c>
      <c r="N561" t="b">
        <v>0</v>
      </c>
      <c r="O561" t="s">
        <v>21</v>
      </c>
      <c r="S561" s="1">
        <v>0.65</v>
      </c>
      <c r="T561" s="1">
        <v>0.74722222222222223</v>
      </c>
      <c r="U561">
        <v>140</v>
      </c>
      <c r="V561" t="b">
        <v>0</v>
      </c>
      <c r="W561" t="s">
        <v>21</v>
      </c>
      <c r="Z561" t="b">
        <v>1</v>
      </c>
      <c r="AA561" t="s">
        <v>45</v>
      </c>
      <c r="AB561" t="b">
        <v>1</v>
      </c>
      <c r="AD561" s="2"/>
    </row>
    <row r="562" spans="1:30" x14ac:dyDescent="0.25">
      <c r="A562">
        <v>561</v>
      </c>
      <c r="B562" t="s">
        <v>17</v>
      </c>
      <c r="C562" s="3">
        <v>29852</v>
      </c>
      <c r="D562" s="2">
        <f ca="1">DATEDIF(gym_membership[[#This Row],[birthday]],TODAY(),"y")</f>
        <v>44</v>
      </c>
      <c r="E562">
        <v>43</v>
      </c>
      <c r="F562" t="s">
        <v>18</v>
      </c>
      <c r="G562">
        <v>5</v>
      </c>
      <c r="H562" t="s">
        <v>129</v>
      </c>
      <c r="I562" t="s">
        <v>34</v>
      </c>
      <c r="J562" t="s">
        <v>26</v>
      </c>
      <c r="K562" t="s">
        <v>94</v>
      </c>
      <c r="L562" t="s">
        <v>95</v>
      </c>
      <c r="M562" t="s">
        <v>77</v>
      </c>
      <c r="N562" t="b">
        <v>1</v>
      </c>
      <c r="O562" t="s">
        <v>336</v>
      </c>
      <c r="P562" t="s">
        <v>41</v>
      </c>
      <c r="Q562" t="s">
        <v>128</v>
      </c>
      <c r="S562" s="1">
        <v>0.55555555555555558</v>
      </c>
      <c r="T562" s="1">
        <v>0.6118055555555556</v>
      </c>
      <c r="U562">
        <v>81</v>
      </c>
      <c r="V562" t="b">
        <v>1</v>
      </c>
      <c r="W562" t="s">
        <v>304</v>
      </c>
      <c r="X562" t="s">
        <v>51</v>
      </c>
      <c r="Y562" t="s">
        <v>59</v>
      </c>
      <c r="Z562" t="b">
        <v>0</v>
      </c>
      <c r="AA562" t="s">
        <v>456</v>
      </c>
      <c r="AB562" t="b">
        <v>1</v>
      </c>
      <c r="AD562" s="2"/>
    </row>
    <row r="563" spans="1:30" x14ac:dyDescent="0.25">
      <c r="A563">
        <v>562</v>
      </c>
      <c r="B563" t="s">
        <v>17</v>
      </c>
      <c r="C563" s="3">
        <v>31694</v>
      </c>
      <c r="D563" s="2">
        <f ca="1">DATEDIF(gym_membership[[#This Row],[birthday]],TODAY(),"y")</f>
        <v>39</v>
      </c>
      <c r="E563">
        <v>38</v>
      </c>
      <c r="F563" t="s">
        <v>22</v>
      </c>
      <c r="G563">
        <v>1</v>
      </c>
      <c r="H563" t="s">
        <v>57</v>
      </c>
      <c r="I563" t="s">
        <v>57</v>
      </c>
      <c r="N563" t="b">
        <v>1</v>
      </c>
      <c r="O563" t="s">
        <v>337</v>
      </c>
      <c r="P563" t="s">
        <v>103</v>
      </c>
      <c r="Q563" t="s">
        <v>120</v>
      </c>
      <c r="R563" t="s">
        <v>58</v>
      </c>
      <c r="S563" s="1">
        <v>0.53611111111111109</v>
      </c>
      <c r="T563" s="1">
        <v>0.64097222222222228</v>
      </c>
      <c r="U563">
        <v>151</v>
      </c>
      <c r="V563" t="b">
        <v>1</v>
      </c>
      <c r="W563" t="s">
        <v>51</v>
      </c>
      <c r="X563" t="s">
        <v>51</v>
      </c>
      <c r="Z563" t="b">
        <v>0</v>
      </c>
      <c r="AA563" t="s">
        <v>456</v>
      </c>
      <c r="AB563" t="b">
        <v>0</v>
      </c>
      <c r="AD563" s="2"/>
    </row>
    <row r="564" spans="1:30" x14ac:dyDescent="0.25">
      <c r="A564">
        <v>563</v>
      </c>
      <c r="B564" t="s">
        <v>17</v>
      </c>
      <c r="C564" s="3">
        <v>39619</v>
      </c>
      <c r="D564" s="2">
        <f ca="1">DATEDIF(gym_membership[[#This Row],[birthday]],TODAY(),"y")</f>
        <v>18</v>
      </c>
      <c r="E564">
        <v>16</v>
      </c>
      <c r="F564" t="s">
        <v>18</v>
      </c>
      <c r="G564">
        <v>5</v>
      </c>
      <c r="H564" t="s">
        <v>135</v>
      </c>
      <c r="I564" t="s">
        <v>44</v>
      </c>
      <c r="J564" t="s">
        <v>26</v>
      </c>
      <c r="K564" t="s">
        <v>95</v>
      </c>
      <c r="L564" t="s">
        <v>57</v>
      </c>
      <c r="M564" t="s">
        <v>77</v>
      </c>
      <c r="N564" t="b">
        <v>0</v>
      </c>
      <c r="O564" t="s">
        <v>21</v>
      </c>
      <c r="S564" s="1">
        <v>0.77708333333333335</v>
      </c>
      <c r="T564" s="1">
        <v>0.83750000000000002</v>
      </c>
      <c r="U564">
        <v>87</v>
      </c>
      <c r="V564" t="b">
        <v>0</v>
      </c>
      <c r="W564" t="s">
        <v>21</v>
      </c>
      <c r="Z564" t="b">
        <v>1</v>
      </c>
      <c r="AA564" t="s">
        <v>43</v>
      </c>
      <c r="AB564" t="b">
        <v>1</v>
      </c>
      <c r="AD564" s="2"/>
    </row>
    <row r="565" spans="1:30" x14ac:dyDescent="0.25">
      <c r="A565">
        <v>564</v>
      </c>
      <c r="B565" t="s">
        <v>17</v>
      </c>
      <c r="C565" s="3">
        <v>39156</v>
      </c>
      <c r="D565" s="2">
        <f ca="1">DATEDIF(gym_membership[[#This Row],[birthday]],TODAY(),"y")</f>
        <v>19</v>
      </c>
      <c r="E565">
        <v>17</v>
      </c>
      <c r="F565" t="s">
        <v>22</v>
      </c>
      <c r="G565">
        <v>2</v>
      </c>
      <c r="H565" t="s">
        <v>183</v>
      </c>
      <c r="I565" t="s">
        <v>44</v>
      </c>
      <c r="J565" t="s">
        <v>26</v>
      </c>
      <c r="N565" t="b">
        <v>0</v>
      </c>
      <c r="O565" t="s">
        <v>21</v>
      </c>
      <c r="S565" s="1">
        <v>0.70763888888888893</v>
      </c>
      <c r="T565" s="1">
        <v>0.81041666666666667</v>
      </c>
      <c r="U565">
        <v>148</v>
      </c>
      <c r="V565" t="b">
        <v>0</v>
      </c>
      <c r="W565" t="s">
        <v>21</v>
      </c>
      <c r="Z565" t="b">
        <v>0</v>
      </c>
      <c r="AA565" t="s">
        <v>456</v>
      </c>
      <c r="AB565" t="b">
        <v>1</v>
      </c>
      <c r="AD565" s="2"/>
    </row>
    <row r="566" spans="1:30" x14ac:dyDescent="0.25">
      <c r="A566">
        <v>565</v>
      </c>
      <c r="B566" t="s">
        <v>25</v>
      </c>
      <c r="C566" s="3">
        <v>30029</v>
      </c>
      <c r="D566" s="2">
        <f ca="1">DATEDIF(gym_membership[[#This Row],[birthday]],TODAY(),"y")</f>
        <v>44</v>
      </c>
      <c r="E566">
        <v>42</v>
      </c>
      <c r="F566" t="s">
        <v>22</v>
      </c>
      <c r="G566">
        <v>1</v>
      </c>
      <c r="H566" t="s">
        <v>95</v>
      </c>
      <c r="I566" t="s">
        <v>95</v>
      </c>
      <c r="N566" t="b">
        <v>1</v>
      </c>
      <c r="O566" t="s">
        <v>338</v>
      </c>
      <c r="P566" t="s">
        <v>120</v>
      </c>
      <c r="Q566" t="s">
        <v>72</v>
      </c>
      <c r="R566" t="s">
        <v>67</v>
      </c>
      <c r="S566" s="1">
        <v>0.53611111111111109</v>
      </c>
      <c r="T566" s="1">
        <v>0.59583333333333333</v>
      </c>
      <c r="U566">
        <v>86</v>
      </c>
      <c r="V566" t="b">
        <v>0</v>
      </c>
      <c r="W566" t="s">
        <v>21</v>
      </c>
      <c r="Z566" t="b">
        <v>0</v>
      </c>
      <c r="AA566" t="s">
        <v>456</v>
      </c>
      <c r="AB566" t="b">
        <v>0</v>
      </c>
      <c r="AD566" s="2"/>
    </row>
    <row r="567" spans="1:30" x14ac:dyDescent="0.25">
      <c r="A567">
        <v>566</v>
      </c>
      <c r="B567" t="s">
        <v>17</v>
      </c>
      <c r="C567" s="3">
        <v>33424</v>
      </c>
      <c r="D567" s="2">
        <f ca="1">DATEDIF(gym_membership[[#This Row],[birthday]],TODAY(),"y")</f>
        <v>35</v>
      </c>
      <c r="E567">
        <v>33</v>
      </c>
      <c r="F567" t="s">
        <v>22</v>
      </c>
      <c r="G567">
        <v>2</v>
      </c>
      <c r="H567" t="s">
        <v>32</v>
      </c>
      <c r="I567" t="s">
        <v>95</v>
      </c>
      <c r="J567" t="s">
        <v>77</v>
      </c>
      <c r="N567" t="b">
        <v>0</v>
      </c>
      <c r="O567" t="s">
        <v>21</v>
      </c>
      <c r="S567" s="1">
        <v>0.41388888888888886</v>
      </c>
      <c r="T567" s="1">
        <v>0.53611111111111109</v>
      </c>
      <c r="U567">
        <v>176</v>
      </c>
      <c r="V567" t="b">
        <v>0</v>
      </c>
      <c r="W567" t="s">
        <v>21</v>
      </c>
      <c r="Z567" t="b">
        <v>1</v>
      </c>
      <c r="AA567" t="s">
        <v>45</v>
      </c>
      <c r="AB567" t="b">
        <v>1</v>
      </c>
      <c r="AD567" s="2"/>
    </row>
    <row r="568" spans="1:30" x14ac:dyDescent="0.25">
      <c r="A568">
        <v>567</v>
      </c>
      <c r="B568" t="s">
        <v>17</v>
      </c>
      <c r="C568" s="3">
        <v>29183</v>
      </c>
      <c r="D568" s="2">
        <f ca="1">DATEDIF(gym_membership[[#This Row],[birthday]],TODAY(),"y")</f>
        <v>46</v>
      </c>
      <c r="E568">
        <v>44</v>
      </c>
      <c r="F568" t="s">
        <v>18</v>
      </c>
      <c r="G568">
        <v>4</v>
      </c>
      <c r="H568" t="s">
        <v>53</v>
      </c>
      <c r="I568" t="s">
        <v>34</v>
      </c>
      <c r="J568" t="s">
        <v>95</v>
      </c>
      <c r="K568" t="s">
        <v>57</v>
      </c>
      <c r="L568" t="s">
        <v>77</v>
      </c>
      <c r="N568" t="b">
        <v>1</v>
      </c>
      <c r="O568" t="s">
        <v>120</v>
      </c>
      <c r="P568" t="s">
        <v>120</v>
      </c>
      <c r="S568" s="1">
        <v>0.79791666666666672</v>
      </c>
      <c r="T568" s="1">
        <v>0.91319444444444442</v>
      </c>
      <c r="U568">
        <v>166</v>
      </c>
      <c r="V568" t="b">
        <v>1</v>
      </c>
      <c r="W568" t="s">
        <v>339</v>
      </c>
      <c r="X568" t="s">
        <v>51</v>
      </c>
      <c r="Y568" t="s">
        <v>76</v>
      </c>
      <c r="Z568" t="b">
        <v>0</v>
      </c>
      <c r="AA568" t="s">
        <v>456</v>
      </c>
      <c r="AB568" t="b">
        <v>1</v>
      </c>
      <c r="AD568" s="2"/>
    </row>
    <row r="569" spans="1:30" x14ac:dyDescent="0.25">
      <c r="A569">
        <v>568</v>
      </c>
      <c r="B569" t="s">
        <v>17</v>
      </c>
      <c r="C569" s="3">
        <v>32746</v>
      </c>
      <c r="D569" s="2">
        <f ca="1">DATEDIF(gym_membership[[#This Row],[birthday]],TODAY(),"y")</f>
        <v>37</v>
      </c>
      <c r="E569">
        <v>35</v>
      </c>
      <c r="F569" t="s">
        <v>18</v>
      </c>
      <c r="G569">
        <v>5</v>
      </c>
      <c r="H569" t="s">
        <v>159</v>
      </c>
      <c r="I569" t="s">
        <v>26</v>
      </c>
      <c r="J569" t="s">
        <v>94</v>
      </c>
      <c r="K569" t="s">
        <v>95</v>
      </c>
      <c r="L569" t="s">
        <v>57</v>
      </c>
      <c r="M569" t="s">
        <v>77</v>
      </c>
      <c r="N569" t="b">
        <v>0</v>
      </c>
      <c r="O569" t="s">
        <v>21</v>
      </c>
      <c r="S569" s="1">
        <v>0.44513888888888886</v>
      </c>
      <c r="T569" s="1">
        <v>0.57013888888888886</v>
      </c>
      <c r="U569">
        <v>180</v>
      </c>
      <c r="V569" t="b">
        <v>0</v>
      </c>
      <c r="W569" t="s">
        <v>21</v>
      </c>
      <c r="Z569" t="b">
        <v>0</v>
      </c>
      <c r="AA569" t="s">
        <v>456</v>
      </c>
      <c r="AB569" t="b">
        <v>1</v>
      </c>
      <c r="AD569" s="2"/>
    </row>
    <row r="570" spans="1:30" x14ac:dyDescent="0.25">
      <c r="A570">
        <v>569</v>
      </c>
      <c r="B570" t="s">
        <v>25</v>
      </c>
      <c r="C570" s="3">
        <v>34171</v>
      </c>
      <c r="D570" s="2">
        <f ca="1">DATEDIF(gym_membership[[#This Row],[birthday]],TODAY(),"y")</f>
        <v>33</v>
      </c>
      <c r="E570">
        <v>31</v>
      </c>
      <c r="F570" t="s">
        <v>18</v>
      </c>
      <c r="G570">
        <v>2</v>
      </c>
      <c r="H570" t="s">
        <v>37</v>
      </c>
      <c r="I570" t="s">
        <v>34</v>
      </c>
      <c r="J570" t="s">
        <v>77</v>
      </c>
      <c r="N570" t="b">
        <v>1</v>
      </c>
      <c r="O570" t="s">
        <v>340</v>
      </c>
      <c r="P570" t="s">
        <v>103</v>
      </c>
      <c r="Q570" t="s">
        <v>72</v>
      </c>
      <c r="S570" s="1">
        <v>0.85277777777777775</v>
      </c>
      <c r="T570" s="1">
        <v>0.91111111111111109</v>
      </c>
      <c r="U570">
        <v>84</v>
      </c>
      <c r="V570" t="b">
        <v>1</v>
      </c>
      <c r="W570" t="s">
        <v>51</v>
      </c>
      <c r="X570" t="s">
        <v>51</v>
      </c>
      <c r="Z570" t="b">
        <v>1</v>
      </c>
      <c r="AA570" t="s">
        <v>45</v>
      </c>
      <c r="AB570" t="b">
        <v>0</v>
      </c>
      <c r="AD570" s="2"/>
    </row>
    <row r="571" spans="1:30" x14ac:dyDescent="0.25">
      <c r="A571">
        <v>570</v>
      </c>
      <c r="B571" t="s">
        <v>25</v>
      </c>
      <c r="C571" s="3">
        <v>30636</v>
      </c>
      <c r="D571" s="2">
        <f ca="1">DATEDIF(gym_membership[[#This Row],[birthday]],TODAY(),"y")</f>
        <v>42</v>
      </c>
      <c r="E571">
        <v>40</v>
      </c>
      <c r="F571" t="s">
        <v>22</v>
      </c>
      <c r="G571">
        <v>1</v>
      </c>
      <c r="H571" t="s">
        <v>44</v>
      </c>
      <c r="I571" t="s">
        <v>44</v>
      </c>
      <c r="N571" t="b">
        <v>0</v>
      </c>
      <c r="O571" t="s">
        <v>21</v>
      </c>
      <c r="S571" s="1">
        <v>0.77083333333333337</v>
      </c>
      <c r="T571" s="1">
        <v>0.82222222222222219</v>
      </c>
      <c r="U571">
        <v>74</v>
      </c>
      <c r="V571" t="b">
        <v>1</v>
      </c>
      <c r="W571" t="s">
        <v>163</v>
      </c>
      <c r="X571" t="s">
        <v>65</v>
      </c>
      <c r="Y571" t="s">
        <v>51</v>
      </c>
      <c r="Z571" t="b">
        <v>0</v>
      </c>
      <c r="AA571" t="s">
        <v>456</v>
      </c>
      <c r="AB571" t="b">
        <v>1</v>
      </c>
      <c r="AD571" s="2"/>
    </row>
    <row r="572" spans="1:30" x14ac:dyDescent="0.25">
      <c r="A572">
        <v>571</v>
      </c>
      <c r="B572" t="s">
        <v>17</v>
      </c>
      <c r="C572" s="3">
        <v>27504</v>
      </c>
      <c r="D572" s="2">
        <f ca="1">DATEDIF(gym_membership[[#This Row],[birthday]],TODAY(),"y")</f>
        <v>51</v>
      </c>
      <c r="E572">
        <v>49</v>
      </c>
      <c r="F572" t="s">
        <v>18</v>
      </c>
      <c r="G572">
        <v>2</v>
      </c>
      <c r="H572" t="s">
        <v>98</v>
      </c>
      <c r="I572" t="s">
        <v>57</v>
      </c>
      <c r="J572" t="s">
        <v>77</v>
      </c>
      <c r="N572" t="b">
        <v>0</v>
      </c>
      <c r="O572" t="s">
        <v>21</v>
      </c>
      <c r="S572" s="1">
        <v>0.42430555555555555</v>
      </c>
      <c r="T572" s="1">
        <v>0.4777777777777778</v>
      </c>
      <c r="U572">
        <v>77</v>
      </c>
      <c r="V572" t="b">
        <v>1</v>
      </c>
      <c r="W572" t="s">
        <v>76</v>
      </c>
      <c r="X572" t="s">
        <v>76</v>
      </c>
      <c r="Z572" t="b">
        <v>1</v>
      </c>
      <c r="AA572" t="s">
        <v>45</v>
      </c>
      <c r="AB572" t="b">
        <v>0</v>
      </c>
      <c r="AD572" s="2"/>
    </row>
    <row r="573" spans="1:30" x14ac:dyDescent="0.25">
      <c r="A573">
        <v>572</v>
      </c>
      <c r="B573" t="s">
        <v>17</v>
      </c>
      <c r="C573" s="3">
        <v>39655</v>
      </c>
      <c r="D573" s="2">
        <f ca="1">DATEDIF(gym_membership[[#This Row],[birthday]],TODAY(),"y")</f>
        <v>18</v>
      </c>
      <c r="E573">
        <v>16</v>
      </c>
      <c r="F573" t="s">
        <v>22</v>
      </c>
      <c r="G573">
        <v>5</v>
      </c>
      <c r="H573" t="s">
        <v>151</v>
      </c>
      <c r="I573" t="s">
        <v>44</v>
      </c>
      <c r="J573" t="s">
        <v>26</v>
      </c>
      <c r="K573" t="s">
        <v>94</v>
      </c>
      <c r="L573" t="s">
        <v>95</v>
      </c>
      <c r="M573" t="s">
        <v>77</v>
      </c>
      <c r="N573" t="b">
        <v>1</v>
      </c>
      <c r="O573" t="s">
        <v>341</v>
      </c>
      <c r="P573" t="s">
        <v>100</v>
      </c>
      <c r="Q573" t="s">
        <v>72</v>
      </c>
      <c r="S573" s="1">
        <v>0.71111111111111114</v>
      </c>
      <c r="T573" s="1">
        <v>0.73958333333333337</v>
      </c>
      <c r="U573">
        <v>41</v>
      </c>
      <c r="V573" t="b">
        <v>1</v>
      </c>
      <c r="W573" t="s">
        <v>31</v>
      </c>
      <c r="X573" t="s">
        <v>31</v>
      </c>
      <c r="Z573" t="b">
        <v>0</v>
      </c>
      <c r="AA573" t="s">
        <v>456</v>
      </c>
      <c r="AB573" t="b">
        <v>1</v>
      </c>
      <c r="AD573" s="2"/>
    </row>
    <row r="574" spans="1:30" x14ac:dyDescent="0.25">
      <c r="A574">
        <v>573</v>
      </c>
      <c r="B574" t="s">
        <v>25</v>
      </c>
      <c r="C574" s="3">
        <v>35539</v>
      </c>
      <c r="D574" s="2">
        <f ca="1">DATEDIF(gym_membership[[#This Row],[birthday]],TODAY(),"y")</f>
        <v>29</v>
      </c>
      <c r="E574">
        <v>27</v>
      </c>
      <c r="F574" t="s">
        <v>18</v>
      </c>
      <c r="G574">
        <v>3</v>
      </c>
      <c r="H574" t="s">
        <v>164</v>
      </c>
      <c r="I574" t="s">
        <v>34</v>
      </c>
      <c r="J574" t="s">
        <v>26</v>
      </c>
      <c r="K574" t="s">
        <v>95</v>
      </c>
      <c r="N574" t="b">
        <v>0</v>
      </c>
      <c r="O574" t="s">
        <v>21</v>
      </c>
      <c r="S574" s="1">
        <v>0.76111111111111107</v>
      </c>
      <c r="T574" s="1">
        <v>0.85902777777777772</v>
      </c>
      <c r="U574">
        <v>141</v>
      </c>
      <c r="V574" t="b">
        <v>0</v>
      </c>
      <c r="W574" t="s">
        <v>21</v>
      </c>
      <c r="Z574" t="b">
        <v>0</v>
      </c>
      <c r="AA574" t="s">
        <v>456</v>
      </c>
      <c r="AB574" t="b">
        <v>0</v>
      </c>
      <c r="AD574" s="2"/>
    </row>
    <row r="575" spans="1:30" x14ac:dyDescent="0.25">
      <c r="A575">
        <v>574</v>
      </c>
      <c r="B575" t="s">
        <v>17</v>
      </c>
      <c r="C575" s="3">
        <v>27483</v>
      </c>
      <c r="D575" s="2">
        <f ca="1">DATEDIF(gym_membership[[#This Row],[birthday]],TODAY(),"y")</f>
        <v>51</v>
      </c>
      <c r="E575">
        <v>49</v>
      </c>
      <c r="F575" t="s">
        <v>18</v>
      </c>
      <c r="G575">
        <v>2</v>
      </c>
      <c r="H575" t="s">
        <v>133</v>
      </c>
      <c r="I575" t="s">
        <v>34</v>
      </c>
      <c r="J575" t="s">
        <v>94</v>
      </c>
      <c r="N575" t="b">
        <v>0</v>
      </c>
      <c r="O575" t="s">
        <v>21</v>
      </c>
      <c r="S575" s="1">
        <v>0.8125</v>
      </c>
      <c r="T575" s="1">
        <v>0.86944444444444446</v>
      </c>
      <c r="U575">
        <v>82</v>
      </c>
      <c r="V575" t="b">
        <v>1</v>
      </c>
      <c r="W575" t="s">
        <v>76</v>
      </c>
      <c r="X575" t="s">
        <v>76</v>
      </c>
      <c r="Z575" t="b">
        <v>1</v>
      </c>
      <c r="AA575" t="s">
        <v>24</v>
      </c>
      <c r="AB575" t="b">
        <v>0</v>
      </c>
      <c r="AD575" s="2"/>
    </row>
    <row r="576" spans="1:30" x14ac:dyDescent="0.25">
      <c r="A576">
        <v>575</v>
      </c>
      <c r="B576" t="s">
        <v>17</v>
      </c>
      <c r="C576" s="3">
        <v>33306</v>
      </c>
      <c r="D576" s="2">
        <f ca="1">DATEDIF(gym_membership[[#This Row],[birthday]],TODAY(),"y")</f>
        <v>35</v>
      </c>
      <c r="E576">
        <v>33</v>
      </c>
      <c r="F576" t="s">
        <v>18</v>
      </c>
      <c r="G576">
        <v>1</v>
      </c>
      <c r="H576" t="s">
        <v>94</v>
      </c>
      <c r="I576" t="s">
        <v>94</v>
      </c>
      <c r="N576" t="b">
        <v>0</v>
      </c>
      <c r="O576" t="s">
        <v>21</v>
      </c>
      <c r="S576" s="1">
        <v>0.68680555555555556</v>
      </c>
      <c r="T576" s="1">
        <v>0.71319444444444446</v>
      </c>
      <c r="U576">
        <v>38</v>
      </c>
      <c r="V576" t="b">
        <v>0</v>
      </c>
      <c r="W576" t="s">
        <v>21</v>
      </c>
      <c r="Z576" t="b">
        <v>1</v>
      </c>
      <c r="AA576" t="s">
        <v>45</v>
      </c>
      <c r="AB576" t="b">
        <v>0</v>
      </c>
      <c r="AD576" s="2"/>
    </row>
    <row r="577" spans="1:30" x14ac:dyDescent="0.25">
      <c r="A577">
        <v>576</v>
      </c>
      <c r="B577" t="s">
        <v>25</v>
      </c>
      <c r="C577" s="3">
        <v>39609</v>
      </c>
      <c r="D577" s="2">
        <f ca="1">DATEDIF(gym_membership[[#This Row],[birthday]],TODAY(),"y")</f>
        <v>18</v>
      </c>
      <c r="E577">
        <v>16</v>
      </c>
      <c r="F577" t="s">
        <v>18</v>
      </c>
      <c r="G577">
        <v>2</v>
      </c>
      <c r="H577" t="s">
        <v>156</v>
      </c>
      <c r="I577" t="s">
        <v>44</v>
      </c>
      <c r="J577" t="s">
        <v>77</v>
      </c>
      <c r="N577" t="b">
        <v>1</v>
      </c>
      <c r="O577" t="s">
        <v>342</v>
      </c>
      <c r="P577" t="s">
        <v>128</v>
      </c>
      <c r="Q577" t="s">
        <v>72</v>
      </c>
      <c r="R577" t="s">
        <v>67</v>
      </c>
      <c r="S577" s="1">
        <v>0.52777777777777779</v>
      </c>
      <c r="T577" s="1">
        <v>0.57777777777777772</v>
      </c>
      <c r="U577">
        <v>72</v>
      </c>
      <c r="V577" t="b">
        <v>1</v>
      </c>
      <c r="W577" t="s">
        <v>172</v>
      </c>
      <c r="X577" t="s">
        <v>65</v>
      </c>
      <c r="Y577" t="s">
        <v>59</v>
      </c>
      <c r="Z577" t="b">
        <v>1</v>
      </c>
      <c r="AA577" t="s">
        <v>24</v>
      </c>
      <c r="AB577" t="b">
        <v>0</v>
      </c>
      <c r="AD577" s="2"/>
    </row>
    <row r="578" spans="1:30" x14ac:dyDescent="0.25">
      <c r="A578">
        <v>577</v>
      </c>
      <c r="B578" t="s">
        <v>17</v>
      </c>
      <c r="C578" s="3">
        <v>37584</v>
      </c>
      <c r="D578" s="2">
        <f ca="1">DATEDIF(gym_membership[[#This Row],[birthday]],TODAY(),"y")</f>
        <v>23</v>
      </c>
      <c r="E578">
        <v>21</v>
      </c>
      <c r="F578" t="s">
        <v>22</v>
      </c>
      <c r="G578">
        <v>2</v>
      </c>
      <c r="H578" t="s">
        <v>37</v>
      </c>
      <c r="I578" t="s">
        <v>34</v>
      </c>
      <c r="J578" t="s">
        <v>77</v>
      </c>
      <c r="N578" t="b">
        <v>0</v>
      </c>
      <c r="O578" t="s">
        <v>21</v>
      </c>
      <c r="S578" s="1">
        <v>0.43472222222222223</v>
      </c>
      <c r="T578" s="1">
        <v>0.51458333333333328</v>
      </c>
      <c r="U578">
        <v>115</v>
      </c>
      <c r="V578" t="b">
        <v>1</v>
      </c>
      <c r="W578" t="s">
        <v>203</v>
      </c>
      <c r="X578" t="s">
        <v>51</v>
      </c>
      <c r="Y578" t="s">
        <v>39</v>
      </c>
      <c r="Z578" t="b">
        <v>1</v>
      </c>
      <c r="AA578" t="s">
        <v>29</v>
      </c>
      <c r="AB578" t="b">
        <v>1</v>
      </c>
      <c r="AD578" s="2"/>
    </row>
    <row r="579" spans="1:30" x14ac:dyDescent="0.25">
      <c r="A579">
        <v>578</v>
      </c>
      <c r="B579" t="s">
        <v>25</v>
      </c>
      <c r="C579" s="3">
        <v>30408</v>
      </c>
      <c r="D579" s="2">
        <f ca="1">DATEDIF(gym_membership[[#This Row],[birthday]],TODAY(),"y")</f>
        <v>43</v>
      </c>
      <c r="E579">
        <v>41</v>
      </c>
      <c r="F579" t="s">
        <v>18</v>
      </c>
      <c r="G579">
        <v>5</v>
      </c>
      <c r="H579" t="s">
        <v>301</v>
      </c>
      <c r="I579" t="s">
        <v>34</v>
      </c>
      <c r="J579" t="s">
        <v>26</v>
      </c>
      <c r="K579" t="s">
        <v>94</v>
      </c>
      <c r="L579" t="s">
        <v>57</v>
      </c>
      <c r="M579" t="s">
        <v>77</v>
      </c>
      <c r="N579" t="b">
        <v>0</v>
      </c>
      <c r="O579" t="s">
        <v>21</v>
      </c>
      <c r="S579" s="1">
        <v>0.85763888888888884</v>
      </c>
      <c r="T579" s="1">
        <v>0.9375</v>
      </c>
      <c r="U579">
        <v>115</v>
      </c>
      <c r="V579" t="b">
        <v>0</v>
      </c>
      <c r="W579" t="s">
        <v>21</v>
      </c>
      <c r="Z579" t="b">
        <v>0</v>
      </c>
      <c r="AA579" t="s">
        <v>456</v>
      </c>
      <c r="AB579" t="b">
        <v>1</v>
      </c>
      <c r="AD579" s="2"/>
    </row>
    <row r="580" spans="1:30" x14ac:dyDescent="0.25">
      <c r="A580">
        <v>579</v>
      </c>
      <c r="B580" t="s">
        <v>25</v>
      </c>
      <c r="C580" s="3">
        <v>32438</v>
      </c>
      <c r="D580" s="2">
        <f ca="1">DATEDIF(gym_membership[[#This Row],[birthday]],TODAY(),"y")</f>
        <v>37</v>
      </c>
      <c r="E580">
        <v>35</v>
      </c>
      <c r="F580" t="s">
        <v>18</v>
      </c>
      <c r="G580">
        <v>2</v>
      </c>
      <c r="H580" t="s">
        <v>48</v>
      </c>
      <c r="I580" t="s">
        <v>94</v>
      </c>
      <c r="J580" t="s">
        <v>77</v>
      </c>
      <c r="N580" t="b">
        <v>0</v>
      </c>
      <c r="O580" t="s">
        <v>21</v>
      </c>
      <c r="S580" s="1">
        <v>0.82638888888888884</v>
      </c>
      <c r="T580" s="1">
        <v>0.93333333333333335</v>
      </c>
      <c r="U580">
        <v>154</v>
      </c>
      <c r="V580" t="b">
        <v>0</v>
      </c>
      <c r="W580" t="s">
        <v>21</v>
      </c>
      <c r="Z580" t="b">
        <v>1</v>
      </c>
      <c r="AA580" t="s">
        <v>45</v>
      </c>
      <c r="AB580" t="b">
        <v>1</v>
      </c>
      <c r="AD580" s="2"/>
    </row>
    <row r="581" spans="1:30" x14ac:dyDescent="0.25">
      <c r="A581">
        <v>580</v>
      </c>
      <c r="B581" t="s">
        <v>25</v>
      </c>
      <c r="C581" s="3">
        <v>38927</v>
      </c>
      <c r="D581" s="2">
        <f ca="1">DATEDIF(gym_membership[[#This Row],[birthday]],TODAY(),"y")</f>
        <v>20</v>
      </c>
      <c r="E581">
        <v>18</v>
      </c>
      <c r="F581" t="s">
        <v>22</v>
      </c>
      <c r="G581">
        <v>3</v>
      </c>
      <c r="H581" t="s">
        <v>138</v>
      </c>
      <c r="I581" t="s">
        <v>94</v>
      </c>
      <c r="J581" t="s">
        <v>95</v>
      </c>
      <c r="K581" t="s">
        <v>57</v>
      </c>
      <c r="N581" t="b">
        <v>1</v>
      </c>
      <c r="O581" t="s">
        <v>343</v>
      </c>
      <c r="P581" t="s">
        <v>128</v>
      </c>
      <c r="Q581" t="s">
        <v>91</v>
      </c>
      <c r="R581" t="s">
        <v>100</v>
      </c>
      <c r="S581" s="1">
        <v>0.67361111111111116</v>
      </c>
      <c r="T581" s="1">
        <v>0.71111111111111114</v>
      </c>
      <c r="U581">
        <v>54</v>
      </c>
      <c r="V581" t="b">
        <v>1</v>
      </c>
      <c r="W581" t="s">
        <v>65</v>
      </c>
      <c r="X581" t="s">
        <v>65</v>
      </c>
      <c r="Z581" t="b">
        <v>0</v>
      </c>
      <c r="AA581" t="s">
        <v>456</v>
      </c>
      <c r="AB581" t="b">
        <v>0</v>
      </c>
      <c r="AD581" s="2"/>
    </row>
    <row r="582" spans="1:30" x14ac:dyDescent="0.25">
      <c r="A582">
        <v>581</v>
      </c>
      <c r="B582" t="s">
        <v>25</v>
      </c>
      <c r="C582" s="3">
        <v>27646</v>
      </c>
      <c r="D582" s="2">
        <f ca="1">DATEDIF(gym_membership[[#This Row],[birthday]],TODAY(),"y")</f>
        <v>50</v>
      </c>
      <c r="E582">
        <v>49</v>
      </c>
      <c r="F582" t="s">
        <v>18</v>
      </c>
      <c r="G582">
        <v>3</v>
      </c>
      <c r="H582" t="s">
        <v>145</v>
      </c>
      <c r="I582" t="s">
        <v>34</v>
      </c>
      <c r="J582" t="s">
        <v>26</v>
      </c>
      <c r="K582" t="s">
        <v>94</v>
      </c>
      <c r="N582" t="b">
        <v>0</v>
      </c>
      <c r="O582" t="s">
        <v>21</v>
      </c>
      <c r="S582" s="1">
        <v>0.64236111111111116</v>
      </c>
      <c r="T582" s="1">
        <v>0.75347222222222221</v>
      </c>
      <c r="U582">
        <v>160</v>
      </c>
      <c r="V582" t="b">
        <v>1</v>
      </c>
      <c r="W582" t="s">
        <v>59</v>
      </c>
      <c r="X582" t="s">
        <v>59</v>
      </c>
      <c r="Z582" t="b">
        <v>0</v>
      </c>
      <c r="AA582" t="s">
        <v>456</v>
      </c>
      <c r="AB582" t="b">
        <v>1</v>
      </c>
      <c r="AD582" s="2"/>
    </row>
    <row r="583" spans="1:30" x14ac:dyDescent="0.25">
      <c r="A583">
        <v>582</v>
      </c>
      <c r="B583" t="s">
        <v>17</v>
      </c>
      <c r="C583" s="3">
        <v>29455</v>
      </c>
      <c r="D583" s="2">
        <f ca="1">DATEDIF(gym_membership[[#This Row],[birthday]],TODAY(),"y")</f>
        <v>46</v>
      </c>
      <c r="E583">
        <v>44</v>
      </c>
      <c r="F583" t="s">
        <v>18</v>
      </c>
      <c r="G583">
        <v>2</v>
      </c>
      <c r="H583" t="s">
        <v>48</v>
      </c>
      <c r="I583" t="s">
        <v>94</v>
      </c>
      <c r="J583" t="s">
        <v>77</v>
      </c>
      <c r="N583" t="b">
        <v>1</v>
      </c>
      <c r="O583" t="s">
        <v>41</v>
      </c>
      <c r="P583" t="s">
        <v>41</v>
      </c>
      <c r="S583" s="1">
        <v>0.6118055555555556</v>
      </c>
      <c r="T583" s="1">
        <v>0.69097222222222221</v>
      </c>
      <c r="U583">
        <v>114</v>
      </c>
      <c r="V583" t="b">
        <v>0</v>
      </c>
      <c r="W583" t="s">
        <v>21</v>
      </c>
      <c r="Z583" t="b">
        <v>0</v>
      </c>
      <c r="AA583" t="s">
        <v>456</v>
      </c>
      <c r="AB583" t="b">
        <v>0</v>
      </c>
      <c r="AD583" s="2"/>
    </row>
    <row r="584" spans="1:30" x14ac:dyDescent="0.25">
      <c r="A584">
        <v>583</v>
      </c>
      <c r="B584" t="s">
        <v>17</v>
      </c>
      <c r="C584" s="3">
        <v>34360</v>
      </c>
      <c r="D584" s="2">
        <f ca="1">DATEDIF(gym_membership[[#This Row],[birthday]],TODAY(),"y")</f>
        <v>32</v>
      </c>
      <c r="E584">
        <v>30</v>
      </c>
      <c r="F584" t="s">
        <v>22</v>
      </c>
      <c r="G584">
        <v>1</v>
      </c>
      <c r="H584" t="s">
        <v>44</v>
      </c>
      <c r="I584" t="s">
        <v>44</v>
      </c>
      <c r="N584" t="b">
        <v>0</v>
      </c>
      <c r="O584" t="s">
        <v>21</v>
      </c>
      <c r="S584" s="1">
        <v>0.69027777777777777</v>
      </c>
      <c r="T584" s="1">
        <v>0.79305555555555551</v>
      </c>
      <c r="U584">
        <v>148</v>
      </c>
      <c r="V584" t="b">
        <v>0</v>
      </c>
      <c r="W584" t="s">
        <v>21</v>
      </c>
      <c r="Z584" t="b">
        <v>0</v>
      </c>
      <c r="AA584" t="s">
        <v>456</v>
      </c>
      <c r="AB584" t="b">
        <v>1</v>
      </c>
      <c r="AD584" s="2"/>
    </row>
    <row r="585" spans="1:30" x14ac:dyDescent="0.25">
      <c r="A585">
        <v>584</v>
      </c>
      <c r="B585" t="s">
        <v>25</v>
      </c>
      <c r="C585" s="3">
        <v>34993</v>
      </c>
      <c r="D585" s="2">
        <f ca="1">DATEDIF(gym_membership[[#This Row],[birthday]],TODAY(),"y")</f>
        <v>30</v>
      </c>
      <c r="E585">
        <v>28</v>
      </c>
      <c r="F585" t="s">
        <v>22</v>
      </c>
      <c r="G585">
        <v>3</v>
      </c>
      <c r="H585" t="s">
        <v>35</v>
      </c>
      <c r="I585" t="s">
        <v>26</v>
      </c>
      <c r="J585" t="s">
        <v>95</v>
      </c>
      <c r="K585" t="s">
        <v>77</v>
      </c>
      <c r="N585" t="b">
        <v>0</v>
      </c>
      <c r="O585" t="s">
        <v>21</v>
      </c>
      <c r="S585" s="1">
        <v>0.45</v>
      </c>
      <c r="T585" s="1">
        <v>0.50624999999999998</v>
      </c>
      <c r="U585">
        <v>81</v>
      </c>
      <c r="V585" t="b">
        <v>0</v>
      </c>
      <c r="W585" t="s">
        <v>21</v>
      </c>
      <c r="Z585" t="b">
        <v>0</v>
      </c>
      <c r="AA585" t="s">
        <v>456</v>
      </c>
      <c r="AB585" t="b">
        <v>0</v>
      </c>
      <c r="AD585" s="2"/>
    </row>
    <row r="586" spans="1:30" x14ac:dyDescent="0.25">
      <c r="A586">
        <v>585</v>
      </c>
      <c r="B586" t="s">
        <v>17</v>
      </c>
      <c r="C586" s="3">
        <v>35743</v>
      </c>
      <c r="D586" s="2">
        <f ca="1">DATEDIF(gym_membership[[#This Row],[birthday]],TODAY(),"y")</f>
        <v>28</v>
      </c>
      <c r="E586">
        <v>26</v>
      </c>
      <c r="F586" t="s">
        <v>18</v>
      </c>
      <c r="G586">
        <v>2</v>
      </c>
      <c r="H586" t="s">
        <v>132</v>
      </c>
      <c r="I586" t="s">
        <v>44</v>
      </c>
      <c r="J586" t="s">
        <v>94</v>
      </c>
      <c r="N586" t="b">
        <v>1</v>
      </c>
      <c r="O586" t="s">
        <v>120</v>
      </c>
      <c r="P586" t="s">
        <v>120</v>
      </c>
      <c r="S586" s="1">
        <v>0.86458333333333337</v>
      </c>
      <c r="T586" s="1">
        <v>0.90833333333333333</v>
      </c>
      <c r="U586">
        <v>63</v>
      </c>
      <c r="V586" t="b">
        <v>0</v>
      </c>
      <c r="W586" t="s">
        <v>21</v>
      </c>
      <c r="Z586" t="b">
        <v>1</v>
      </c>
      <c r="AA586" t="s">
        <v>24</v>
      </c>
      <c r="AB586" t="b">
        <v>1</v>
      </c>
      <c r="AD586" s="2"/>
    </row>
    <row r="587" spans="1:30" x14ac:dyDescent="0.25">
      <c r="A587">
        <v>586</v>
      </c>
      <c r="B587" t="s">
        <v>25</v>
      </c>
      <c r="C587" s="3">
        <v>33555</v>
      </c>
      <c r="D587" s="2">
        <f ca="1">DATEDIF(gym_membership[[#This Row],[birthday]],TODAY(),"y")</f>
        <v>34</v>
      </c>
      <c r="E587">
        <v>32</v>
      </c>
      <c r="F587" t="s">
        <v>22</v>
      </c>
      <c r="G587">
        <v>3</v>
      </c>
      <c r="H587" t="s">
        <v>78</v>
      </c>
      <c r="I587" t="s">
        <v>44</v>
      </c>
      <c r="J587" t="s">
        <v>34</v>
      </c>
      <c r="K587" t="s">
        <v>95</v>
      </c>
      <c r="N587" t="b">
        <v>0</v>
      </c>
      <c r="O587" t="s">
        <v>21</v>
      </c>
      <c r="S587" s="1">
        <v>0.34236111111111112</v>
      </c>
      <c r="T587" s="1">
        <v>0.37916666666666665</v>
      </c>
      <c r="U587">
        <v>53</v>
      </c>
      <c r="V587" t="b">
        <v>1</v>
      </c>
      <c r="W587" t="s">
        <v>39</v>
      </c>
      <c r="X587" t="s">
        <v>39</v>
      </c>
      <c r="Z587" t="b">
        <v>0</v>
      </c>
      <c r="AA587" t="s">
        <v>456</v>
      </c>
      <c r="AB587" t="b">
        <v>0</v>
      </c>
      <c r="AD587" s="2"/>
    </row>
    <row r="588" spans="1:30" x14ac:dyDescent="0.25">
      <c r="A588">
        <v>587</v>
      </c>
      <c r="B588" t="s">
        <v>25</v>
      </c>
      <c r="C588" s="3">
        <v>35870</v>
      </c>
      <c r="D588" s="2">
        <f ca="1">DATEDIF(gym_membership[[#This Row],[birthday]],TODAY(),"y")</f>
        <v>28</v>
      </c>
      <c r="E588">
        <v>26</v>
      </c>
      <c r="F588" t="s">
        <v>18</v>
      </c>
      <c r="G588">
        <v>5</v>
      </c>
      <c r="H588" t="s">
        <v>74</v>
      </c>
      <c r="I588" t="s">
        <v>44</v>
      </c>
      <c r="J588" t="s">
        <v>26</v>
      </c>
      <c r="K588" t="s">
        <v>94</v>
      </c>
      <c r="L588" t="s">
        <v>57</v>
      </c>
      <c r="M588" t="s">
        <v>77</v>
      </c>
      <c r="N588" t="b">
        <v>1</v>
      </c>
      <c r="O588" t="s">
        <v>100</v>
      </c>
      <c r="P588" t="s">
        <v>100</v>
      </c>
      <c r="S588" s="1">
        <v>0.6645833333333333</v>
      </c>
      <c r="T588" s="1">
        <v>0.73472222222222228</v>
      </c>
      <c r="U588">
        <v>101</v>
      </c>
      <c r="V588" t="b">
        <v>0</v>
      </c>
      <c r="W588" t="s">
        <v>21</v>
      </c>
      <c r="Z588" t="b">
        <v>0</v>
      </c>
      <c r="AA588" t="s">
        <v>456</v>
      </c>
      <c r="AB588" t="b">
        <v>1</v>
      </c>
      <c r="AD588" s="2"/>
    </row>
    <row r="589" spans="1:30" x14ac:dyDescent="0.25">
      <c r="A589">
        <v>588</v>
      </c>
      <c r="B589" t="s">
        <v>25</v>
      </c>
      <c r="C589" s="3">
        <v>38329</v>
      </c>
      <c r="D589" s="2">
        <f ca="1">DATEDIF(gym_membership[[#This Row],[birthday]],TODAY(),"y")</f>
        <v>21</v>
      </c>
      <c r="E589">
        <v>19</v>
      </c>
      <c r="F589" t="s">
        <v>18</v>
      </c>
      <c r="G589">
        <v>3</v>
      </c>
      <c r="H589" t="s">
        <v>56</v>
      </c>
      <c r="I589" t="s">
        <v>26</v>
      </c>
      <c r="J589" t="s">
        <v>95</v>
      </c>
      <c r="K589" t="s">
        <v>57</v>
      </c>
      <c r="N589" t="b">
        <v>1</v>
      </c>
      <c r="O589" t="s">
        <v>344</v>
      </c>
      <c r="P589" t="s">
        <v>41</v>
      </c>
      <c r="Q589" t="s">
        <v>96</v>
      </c>
      <c r="R589" t="s">
        <v>72</v>
      </c>
      <c r="S589" s="1">
        <v>0.34861111111111109</v>
      </c>
      <c r="T589" s="1">
        <v>0.38472222222222224</v>
      </c>
      <c r="U589">
        <v>52</v>
      </c>
      <c r="V589" t="b">
        <v>0</v>
      </c>
      <c r="W589" t="s">
        <v>21</v>
      </c>
      <c r="Z589" t="b">
        <v>1</v>
      </c>
      <c r="AA589" t="s">
        <v>45</v>
      </c>
      <c r="AB589" t="b">
        <v>1</v>
      </c>
      <c r="AD589" s="2"/>
    </row>
    <row r="590" spans="1:30" x14ac:dyDescent="0.25">
      <c r="A590">
        <v>589</v>
      </c>
      <c r="B590" t="s">
        <v>25</v>
      </c>
      <c r="C590" s="3">
        <v>39992</v>
      </c>
      <c r="D590" s="2">
        <f ca="1">DATEDIF(gym_membership[[#This Row],[birthday]],TODAY(),"y")</f>
        <v>17</v>
      </c>
      <c r="E590">
        <v>15</v>
      </c>
      <c r="F590" t="s">
        <v>22</v>
      </c>
      <c r="G590">
        <v>4</v>
      </c>
      <c r="H590" t="s">
        <v>309</v>
      </c>
      <c r="I590" t="s">
        <v>44</v>
      </c>
      <c r="J590" t="s">
        <v>26</v>
      </c>
      <c r="K590" t="s">
        <v>94</v>
      </c>
      <c r="L590" t="s">
        <v>77</v>
      </c>
      <c r="N590" t="b">
        <v>0</v>
      </c>
      <c r="O590" t="s">
        <v>21</v>
      </c>
      <c r="S590" s="1">
        <v>0.58750000000000002</v>
      </c>
      <c r="T590" s="1">
        <v>0.66249999999999998</v>
      </c>
      <c r="U590">
        <v>108</v>
      </c>
      <c r="V590" t="b">
        <v>1</v>
      </c>
      <c r="W590" t="s">
        <v>257</v>
      </c>
      <c r="X590" t="s">
        <v>39</v>
      </c>
      <c r="Y590" t="s">
        <v>65</v>
      </c>
      <c r="Z590" t="b">
        <v>0</v>
      </c>
      <c r="AA590" t="s">
        <v>456</v>
      </c>
      <c r="AB590" t="b">
        <v>1</v>
      </c>
      <c r="AD590" s="2"/>
    </row>
    <row r="591" spans="1:30" x14ac:dyDescent="0.25">
      <c r="A591">
        <v>590</v>
      </c>
      <c r="B591" t="s">
        <v>25</v>
      </c>
      <c r="C591" s="3">
        <v>34210</v>
      </c>
      <c r="D591" s="2">
        <f ca="1">DATEDIF(gym_membership[[#This Row],[birthday]],TODAY(),"y")</f>
        <v>33</v>
      </c>
      <c r="E591">
        <v>31</v>
      </c>
      <c r="F591" t="s">
        <v>22</v>
      </c>
      <c r="G591">
        <v>2</v>
      </c>
      <c r="H591" t="s">
        <v>119</v>
      </c>
      <c r="I591" t="s">
        <v>44</v>
      </c>
      <c r="J591" t="s">
        <v>57</v>
      </c>
      <c r="N591" t="b">
        <v>1</v>
      </c>
      <c r="O591" t="s">
        <v>215</v>
      </c>
      <c r="P591" t="s">
        <v>27</v>
      </c>
      <c r="Q591" t="s">
        <v>41</v>
      </c>
      <c r="S591" s="1">
        <v>0.41041666666666665</v>
      </c>
      <c r="T591" s="1">
        <v>0.46111111111111114</v>
      </c>
      <c r="U591">
        <v>73</v>
      </c>
      <c r="V591" t="b">
        <v>0</v>
      </c>
      <c r="W591" t="s">
        <v>21</v>
      </c>
      <c r="Z591" t="b">
        <v>1</v>
      </c>
      <c r="AA591" t="s">
        <v>24</v>
      </c>
      <c r="AB591" t="b">
        <v>1</v>
      </c>
      <c r="AD591" s="2"/>
    </row>
    <row r="592" spans="1:30" x14ac:dyDescent="0.25">
      <c r="A592">
        <v>591</v>
      </c>
      <c r="B592" t="s">
        <v>25</v>
      </c>
      <c r="C592" s="3">
        <v>30977</v>
      </c>
      <c r="D592" s="2">
        <f ca="1">DATEDIF(gym_membership[[#This Row],[birthday]],TODAY(),"y")</f>
        <v>41</v>
      </c>
      <c r="E592">
        <v>39</v>
      </c>
      <c r="F592" t="s">
        <v>22</v>
      </c>
      <c r="G592">
        <v>5</v>
      </c>
      <c r="H592" t="s">
        <v>248</v>
      </c>
      <c r="I592" t="s">
        <v>44</v>
      </c>
      <c r="J592" t="s">
        <v>34</v>
      </c>
      <c r="K592" t="s">
        <v>94</v>
      </c>
      <c r="L592" t="s">
        <v>95</v>
      </c>
      <c r="M592" t="s">
        <v>77</v>
      </c>
      <c r="N592" t="b">
        <v>1</v>
      </c>
      <c r="O592" t="s">
        <v>67</v>
      </c>
      <c r="P592" t="s">
        <v>67</v>
      </c>
      <c r="S592" s="1">
        <v>0.53472222222222221</v>
      </c>
      <c r="T592" s="1">
        <v>0.62361111111111112</v>
      </c>
      <c r="U592">
        <v>128</v>
      </c>
      <c r="V592" t="b">
        <v>0</v>
      </c>
      <c r="W592" t="s">
        <v>21</v>
      </c>
      <c r="Z592" t="b">
        <v>1</v>
      </c>
      <c r="AA592" t="s">
        <v>43</v>
      </c>
      <c r="AB592" t="b">
        <v>1</v>
      </c>
      <c r="AD592" s="2"/>
    </row>
    <row r="593" spans="1:30" x14ac:dyDescent="0.25">
      <c r="A593">
        <v>592</v>
      </c>
      <c r="B593" t="s">
        <v>17</v>
      </c>
      <c r="C593" s="3">
        <v>29546</v>
      </c>
      <c r="D593" s="2">
        <f ca="1">DATEDIF(gym_membership[[#This Row],[birthday]],TODAY(),"y")</f>
        <v>45</v>
      </c>
      <c r="E593">
        <v>43</v>
      </c>
      <c r="F593" t="s">
        <v>22</v>
      </c>
      <c r="G593">
        <v>3</v>
      </c>
      <c r="H593" t="s">
        <v>149</v>
      </c>
      <c r="I593" t="s">
        <v>26</v>
      </c>
      <c r="J593" t="s">
        <v>94</v>
      </c>
      <c r="K593" t="s">
        <v>77</v>
      </c>
      <c r="N593" t="b">
        <v>1</v>
      </c>
      <c r="O593" t="s">
        <v>345</v>
      </c>
      <c r="P593" t="s">
        <v>96</v>
      </c>
      <c r="Q593" t="s">
        <v>72</v>
      </c>
      <c r="R593" t="s">
        <v>120</v>
      </c>
      <c r="S593" s="1">
        <v>0.4284722222222222</v>
      </c>
      <c r="T593" s="1">
        <v>0.5</v>
      </c>
      <c r="U593">
        <v>103</v>
      </c>
      <c r="V593" t="b">
        <v>0</v>
      </c>
      <c r="W593" t="s">
        <v>21</v>
      </c>
      <c r="Z593" t="b">
        <v>1</v>
      </c>
      <c r="AA593" t="s">
        <v>29</v>
      </c>
      <c r="AB593" t="b">
        <v>0</v>
      </c>
      <c r="AD593" s="2"/>
    </row>
    <row r="594" spans="1:30" x14ac:dyDescent="0.25">
      <c r="A594">
        <v>593</v>
      </c>
      <c r="B594" t="s">
        <v>17</v>
      </c>
      <c r="C594" s="3">
        <v>35999</v>
      </c>
      <c r="D594" s="2">
        <f ca="1">DATEDIF(gym_membership[[#This Row],[birthday]],TODAY(),"y")</f>
        <v>28</v>
      </c>
      <c r="E594">
        <v>26</v>
      </c>
      <c r="F594" t="s">
        <v>22</v>
      </c>
      <c r="G594">
        <v>5</v>
      </c>
      <c r="H594" t="s">
        <v>170</v>
      </c>
      <c r="I594" t="s">
        <v>44</v>
      </c>
      <c r="J594" t="s">
        <v>94</v>
      </c>
      <c r="K594" t="s">
        <v>95</v>
      </c>
      <c r="L594" t="s">
        <v>57</v>
      </c>
      <c r="M594" t="s">
        <v>77</v>
      </c>
      <c r="N594" t="b">
        <v>0</v>
      </c>
      <c r="O594" t="s">
        <v>21</v>
      </c>
      <c r="S594" s="1">
        <v>0.82708333333333328</v>
      </c>
      <c r="T594" s="1">
        <v>0.89097222222222228</v>
      </c>
      <c r="U594">
        <v>92</v>
      </c>
      <c r="V594" t="b">
        <v>1</v>
      </c>
      <c r="W594" t="s">
        <v>59</v>
      </c>
      <c r="X594" t="s">
        <v>59</v>
      </c>
      <c r="Z594" t="b">
        <v>1</v>
      </c>
      <c r="AA594" t="s">
        <v>24</v>
      </c>
      <c r="AB594" t="b">
        <v>1</v>
      </c>
      <c r="AD594" s="2"/>
    </row>
    <row r="595" spans="1:30" x14ac:dyDescent="0.25">
      <c r="A595">
        <v>594</v>
      </c>
      <c r="B595" t="s">
        <v>25</v>
      </c>
      <c r="C595" s="3">
        <v>39937</v>
      </c>
      <c r="D595" s="2">
        <f ca="1">DATEDIF(gym_membership[[#This Row],[birthday]],TODAY(),"y")</f>
        <v>17</v>
      </c>
      <c r="E595">
        <v>15</v>
      </c>
      <c r="F595" t="s">
        <v>22</v>
      </c>
      <c r="G595">
        <v>1</v>
      </c>
      <c r="H595" t="s">
        <v>95</v>
      </c>
      <c r="I595" t="s">
        <v>95</v>
      </c>
      <c r="N595" t="b">
        <v>1</v>
      </c>
      <c r="O595" t="s">
        <v>41</v>
      </c>
      <c r="P595" t="s">
        <v>41</v>
      </c>
      <c r="S595" s="1">
        <v>0.33402777777777776</v>
      </c>
      <c r="T595" s="1">
        <v>0.4375</v>
      </c>
      <c r="U595">
        <v>149</v>
      </c>
      <c r="V595" t="b">
        <v>1</v>
      </c>
      <c r="W595" t="s">
        <v>65</v>
      </c>
      <c r="X595" t="s">
        <v>65</v>
      </c>
      <c r="Z595" t="b">
        <v>1</v>
      </c>
      <c r="AA595" t="s">
        <v>45</v>
      </c>
      <c r="AB595" t="b">
        <v>1</v>
      </c>
      <c r="AD595" s="2"/>
    </row>
    <row r="596" spans="1:30" x14ac:dyDescent="0.25">
      <c r="A596">
        <v>595</v>
      </c>
      <c r="B596" t="s">
        <v>25</v>
      </c>
      <c r="C596" s="3">
        <v>33371</v>
      </c>
      <c r="D596" s="2">
        <f ca="1">DATEDIF(gym_membership[[#This Row],[birthday]],TODAY(),"y")</f>
        <v>35</v>
      </c>
      <c r="E596">
        <v>33</v>
      </c>
      <c r="F596" t="s">
        <v>22</v>
      </c>
      <c r="G596">
        <v>2</v>
      </c>
      <c r="H596" t="s">
        <v>60</v>
      </c>
      <c r="I596" t="s">
        <v>26</v>
      </c>
      <c r="J596" t="s">
        <v>77</v>
      </c>
      <c r="N596" t="b">
        <v>1</v>
      </c>
      <c r="O596" t="s">
        <v>336</v>
      </c>
      <c r="P596" t="s">
        <v>41</v>
      </c>
      <c r="Q596" t="s">
        <v>128</v>
      </c>
      <c r="S596" s="1">
        <v>0.71250000000000002</v>
      </c>
      <c r="T596" s="1">
        <v>0.79791666666666672</v>
      </c>
      <c r="U596">
        <v>123</v>
      </c>
      <c r="V596" t="b">
        <v>1</v>
      </c>
      <c r="W596" t="s">
        <v>114</v>
      </c>
      <c r="X596" t="s">
        <v>59</v>
      </c>
      <c r="Y596" t="s">
        <v>76</v>
      </c>
      <c r="Z596" t="b">
        <v>1</v>
      </c>
      <c r="AA596" t="s">
        <v>45</v>
      </c>
      <c r="AB596" t="b">
        <v>0</v>
      </c>
      <c r="AD596" s="2"/>
    </row>
    <row r="597" spans="1:30" x14ac:dyDescent="0.25">
      <c r="A597">
        <v>596</v>
      </c>
      <c r="B597" t="s">
        <v>25</v>
      </c>
      <c r="C597" s="3">
        <v>28696</v>
      </c>
      <c r="D597" s="2">
        <f ca="1">DATEDIF(gym_membership[[#This Row],[birthday]],TODAY(),"y")</f>
        <v>48</v>
      </c>
      <c r="E597">
        <v>46</v>
      </c>
      <c r="F597" t="s">
        <v>18</v>
      </c>
      <c r="G597">
        <v>5</v>
      </c>
      <c r="H597" t="s">
        <v>187</v>
      </c>
      <c r="I597" t="s">
        <v>34</v>
      </c>
      <c r="J597" t="s">
        <v>26</v>
      </c>
      <c r="K597" t="s">
        <v>95</v>
      </c>
      <c r="L597" t="s">
        <v>57</v>
      </c>
      <c r="M597" t="s">
        <v>77</v>
      </c>
      <c r="N597" t="b">
        <v>0</v>
      </c>
      <c r="O597" t="s">
        <v>21</v>
      </c>
      <c r="S597" s="1">
        <v>0.86527777777777781</v>
      </c>
      <c r="T597" s="1">
        <v>0.92291666666666672</v>
      </c>
      <c r="U597">
        <v>83</v>
      </c>
      <c r="V597" t="b">
        <v>1</v>
      </c>
      <c r="W597" t="s">
        <v>52</v>
      </c>
      <c r="X597" t="s">
        <v>59</v>
      </c>
      <c r="Y597" t="s">
        <v>51</v>
      </c>
      <c r="Z597" t="b">
        <v>1</v>
      </c>
      <c r="AA597" t="s">
        <v>45</v>
      </c>
      <c r="AB597" t="b">
        <v>1</v>
      </c>
      <c r="AD597" s="2"/>
    </row>
    <row r="598" spans="1:30" x14ac:dyDescent="0.25">
      <c r="A598">
        <v>597</v>
      </c>
      <c r="B598" t="s">
        <v>25</v>
      </c>
      <c r="C598" s="3">
        <v>27750</v>
      </c>
      <c r="D598" s="2">
        <f ca="1">DATEDIF(gym_membership[[#This Row],[birthday]],TODAY(),"y")</f>
        <v>50</v>
      </c>
      <c r="E598">
        <v>48</v>
      </c>
      <c r="F598" t="s">
        <v>18</v>
      </c>
      <c r="G598">
        <v>1</v>
      </c>
      <c r="H598" t="s">
        <v>44</v>
      </c>
      <c r="I598" t="s">
        <v>44</v>
      </c>
      <c r="N598" t="b">
        <v>0</v>
      </c>
      <c r="O598" t="s">
        <v>21</v>
      </c>
      <c r="S598" s="1">
        <v>0.78611111111111109</v>
      </c>
      <c r="T598" s="1">
        <v>0.84097222222222223</v>
      </c>
      <c r="U598">
        <v>79</v>
      </c>
      <c r="V598" t="b">
        <v>1</v>
      </c>
      <c r="W598" t="s">
        <v>59</v>
      </c>
      <c r="X598" t="s">
        <v>59</v>
      </c>
      <c r="Z598" t="b">
        <v>1</v>
      </c>
      <c r="AA598" t="s">
        <v>29</v>
      </c>
      <c r="AB598" t="b">
        <v>0</v>
      </c>
      <c r="AD598" s="2"/>
    </row>
    <row r="599" spans="1:30" x14ac:dyDescent="0.25">
      <c r="A599">
        <v>598</v>
      </c>
      <c r="B599" t="s">
        <v>17</v>
      </c>
      <c r="C599" s="3">
        <v>40122</v>
      </c>
      <c r="D599" s="2">
        <f ca="1">DATEDIF(gym_membership[[#This Row],[birthday]],TODAY(),"y")</f>
        <v>16</v>
      </c>
      <c r="E599">
        <v>14</v>
      </c>
      <c r="F599" t="s">
        <v>22</v>
      </c>
      <c r="G599">
        <v>2</v>
      </c>
      <c r="H599" t="s">
        <v>228</v>
      </c>
      <c r="I599" t="s">
        <v>44</v>
      </c>
      <c r="J599" t="s">
        <v>95</v>
      </c>
      <c r="N599" t="b">
        <v>1</v>
      </c>
      <c r="O599" t="s">
        <v>346</v>
      </c>
      <c r="P599" t="s">
        <v>96</v>
      </c>
      <c r="Q599" t="s">
        <v>91</v>
      </c>
      <c r="R599" t="s">
        <v>58</v>
      </c>
      <c r="S599" s="1">
        <v>0.38958333333333334</v>
      </c>
      <c r="T599" s="1">
        <v>0.5083333333333333</v>
      </c>
      <c r="U599">
        <v>171</v>
      </c>
      <c r="V599" t="b">
        <v>0</v>
      </c>
      <c r="W599" t="s">
        <v>21</v>
      </c>
      <c r="Z599" t="b">
        <v>1</v>
      </c>
      <c r="AA599" t="s">
        <v>29</v>
      </c>
      <c r="AB599" t="b">
        <v>0</v>
      </c>
      <c r="AD599" s="2"/>
    </row>
    <row r="600" spans="1:30" x14ac:dyDescent="0.25">
      <c r="A600">
        <v>599</v>
      </c>
      <c r="B600" t="s">
        <v>25</v>
      </c>
      <c r="C600" s="3">
        <v>31379</v>
      </c>
      <c r="D600" s="2">
        <f ca="1">DATEDIF(gym_membership[[#This Row],[birthday]],TODAY(),"y")</f>
        <v>40</v>
      </c>
      <c r="E600">
        <v>38</v>
      </c>
      <c r="F600" t="s">
        <v>22</v>
      </c>
      <c r="G600">
        <v>5</v>
      </c>
      <c r="H600" t="s">
        <v>195</v>
      </c>
      <c r="I600" t="s">
        <v>34</v>
      </c>
      <c r="J600" t="s">
        <v>26</v>
      </c>
      <c r="K600" t="s">
        <v>94</v>
      </c>
      <c r="L600" t="s">
        <v>95</v>
      </c>
      <c r="M600" t="s">
        <v>57</v>
      </c>
      <c r="N600" t="b">
        <v>0</v>
      </c>
      <c r="O600" t="s">
        <v>21</v>
      </c>
      <c r="S600" s="1">
        <v>0.3576388888888889</v>
      </c>
      <c r="T600" s="1">
        <v>0.45555555555555555</v>
      </c>
      <c r="U600">
        <v>141</v>
      </c>
      <c r="V600" t="b">
        <v>1</v>
      </c>
      <c r="W600" t="s">
        <v>76</v>
      </c>
      <c r="X600" t="s">
        <v>76</v>
      </c>
      <c r="Z600" t="b">
        <v>1</v>
      </c>
      <c r="AA600" t="s">
        <v>43</v>
      </c>
      <c r="AB600" t="b">
        <v>0</v>
      </c>
      <c r="AD600" s="2"/>
    </row>
    <row r="601" spans="1:30" x14ac:dyDescent="0.25">
      <c r="A601">
        <v>600</v>
      </c>
      <c r="B601" t="s">
        <v>25</v>
      </c>
      <c r="C601" s="3">
        <v>29145</v>
      </c>
      <c r="D601" s="2">
        <f ca="1">DATEDIF(gym_membership[[#This Row],[birthday]],TODAY(),"y")</f>
        <v>46</v>
      </c>
      <c r="E601">
        <v>44</v>
      </c>
      <c r="F601" t="s">
        <v>18</v>
      </c>
      <c r="G601">
        <v>3</v>
      </c>
      <c r="H601" t="s">
        <v>101</v>
      </c>
      <c r="I601" t="s">
        <v>94</v>
      </c>
      <c r="J601" t="s">
        <v>57</v>
      </c>
      <c r="K601" t="s">
        <v>77</v>
      </c>
      <c r="N601" t="b">
        <v>0</v>
      </c>
      <c r="O601" t="s">
        <v>21</v>
      </c>
      <c r="S601" s="1">
        <v>0.81944444444444442</v>
      </c>
      <c r="T601" s="1">
        <v>0.93680555555555556</v>
      </c>
      <c r="U601">
        <v>169</v>
      </c>
      <c r="V601" t="b">
        <v>0</v>
      </c>
      <c r="W601" t="s">
        <v>21</v>
      </c>
      <c r="Z601" t="b">
        <v>1</v>
      </c>
      <c r="AA601" t="s">
        <v>43</v>
      </c>
      <c r="AB601" t="b">
        <v>0</v>
      </c>
      <c r="AD601" s="2"/>
    </row>
    <row r="602" spans="1:30" x14ac:dyDescent="0.25">
      <c r="A602">
        <v>601</v>
      </c>
      <c r="B602" t="s">
        <v>17</v>
      </c>
      <c r="C602" s="3">
        <v>31005</v>
      </c>
      <c r="D602" s="2">
        <f ca="1">DATEDIF(gym_membership[[#This Row],[birthday]],TODAY(),"y")</f>
        <v>41</v>
      </c>
      <c r="E602">
        <v>39</v>
      </c>
      <c r="F602" t="s">
        <v>22</v>
      </c>
      <c r="G602">
        <v>2</v>
      </c>
      <c r="H602" t="s">
        <v>48</v>
      </c>
      <c r="I602" t="s">
        <v>94</v>
      </c>
      <c r="J602" t="s">
        <v>77</v>
      </c>
      <c r="N602" t="b">
        <v>0</v>
      </c>
      <c r="O602" t="s">
        <v>21</v>
      </c>
      <c r="S602" s="1">
        <v>0.50694444444444442</v>
      </c>
      <c r="T602" s="1">
        <v>0.52916666666666667</v>
      </c>
      <c r="U602">
        <v>32</v>
      </c>
      <c r="V602" t="b">
        <v>1</v>
      </c>
      <c r="W602" t="s">
        <v>153</v>
      </c>
      <c r="X602" t="s">
        <v>31</v>
      </c>
      <c r="Y602" t="s">
        <v>76</v>
      </c>
      <c r="Z602" t="b">
        <v>1</v>
      </c>
      <c r="AA602" t="s">
        <v>29</v>
      </c>
      <c r="AB602" t="b">
        <v>0</v>
      </c>
      <c r="AD602" s="2"/>
    </row>
    <row r="603" spans="1:30" x14ac:dyDescent="0.25">
      <c r="A603">
        <v>602</v>
      </c>
      <c r="B603" t="s">
        <v>25</v>
      </c>
      <c r="C603" s="3">
        <v>27512</v>
      </c>
      <c r="D603" s="2">
        <f ca="1">DATEDIF(gym_membership[[#This Row],[birthday]],TODAY(),"y")</f>
        <v>51</v>
      </c>
      <c r="E603">
        <v>49</v>
      </c>
      <c r="F603" t="s">
        <v>22</v>
      </c>
      <c r="G603">
        <v>2</v>
      </c>
      <c r="H603" t="s">
        <v>60</v>
      </c>
      <c r="I603" t="s">
        <v>26</v>
      </c>
      <c r="J603" t="s">
        <v>77</v>
      </c>
      <c r="N603" t="b">
        <v>0</v>
      </c>
      <c r="O603" t="s">
        <v>21</v>
      </c>
      <c r="S603" s="1">
        <v>0.65347222222222223</v>
      </c>
      <c r="T603" s="1">
        <v>0.73958333333333337</v>
      </c>
      <c r="U603">
        <v>124</v>
      </c>
      <c r="V603" t="b">
        <v>1</v>
      </c>
      <c r="W603" t="s">
        <v>68</v>
      </c>
      <c r="X603" t="s">
        <v>31</v>
      </c>
      <c r="Y603" t="s">
        <v>59</v>
      </c>
      <c r="Z603" t="b">
        <v>0</v>
      </c>
      <c r="AA603" t="s">
        <v>456</v>
      </c>
      <c r="AB603" t="b">
        <v>0</v>
      </c>
      <c r="AD603" s="2"/>
    </row>
    <row r="604" spans="1:30" x14ac:dyDescent="0.25">
      <c r="A604">
        <v>603</v>
      </c>
      <c r="B604" t="s">
        <v>25</v>
      </c>
      <c r="C604" s="3">
        <v>39175</v>
      </c>
      <c r="D604" s="2">
        <f ca="1">DATEDIF(gym_membership[[#This Row],[birthday]],TODAY(),"y")</f>
        <v>19</v>
      </c>
      <c r="E604">
        <v>17</v>
      </c>
      <c r="F604" t="s">
        <v>22</v>
      </c>
      <c r="G604">
        <v>3</v>
      </c>
      <c r="H604" t="s">
        <v>150</v>
      </c>
      <c r="I604" t="s">
        <v>44</v>
      </c>
      <c r="J604" t="s">
        <v>34</v>
      </c>
      <c r="K604" t="s">
        <v>94</v>
      </c>
      <c r="N604" t="b">
        <v>0</v>
      </c>
      <c r="O604" t="s">
        <v>21</v>
      </c>
      <c r="S604" s="1">
        <v>0.64166666666666672</v>
      </c>
      <c r="T604" s="1">
        <v>0.73750000000000004</v>
      </c>
      <c r="U604">
        <v>138</v>
      </c>
      <c r="V604" t="b">
        <v>0</v>
      </c>
      <c r="W604" t="s">
        <v>21</v>
      </c>
      <c r="Z604" t="b">
        <v>0</v>
      </c>
      <c r="AA604" t="s">
        <v>456</v>
      </c>
      <c r="AB604" t="b">
        <v>1</v>
      </c>
      <c r="AD604" s="2"/>
    </row>
    <row r="605" spans="1:30" x14ac:dyDescent="0.25">
      <c r="A605">
        <v>604</v>
      </c>
      <c r="B605" t="s">
        <v>17</v>
      </c>
      <c r="C605" s="3">
        <v>32559</v>
      </c>
      <c r="D605" s="2">
        <f ca="1">DATEDIF(gym_membership[[#This Row],[birthday]],TODAY(),"y")</f>
        <v>37</v>
      </c>
      <c r="E605">
        <v>35</v>
      </c>
      <c r="F605" t="s">
        <v>22</v>
      </c>
      <c r="G605">
        <v>2</v>
      </c>
      <c r="H605" t="s">
        <v>98</v>
      </c>
      <c r="I605" t="s">
        <v>57</v>
      </c>
      <c r="J605" t="s">
        <v>77</v>
      </c>
      <c r="N605" t="b">
        <v>0</v>
      </c>
      <c r="O605" t="s">
        <v>21</v>
      </c>
      <c r="S605" s="1">
        <v>0.77916666666666667</v>
      </c>
      <c r="T605" s="1">
        <v>0.90347222222222223</v>
      </c>
      <c r="U605">
        <v>179</v>
      </c>
      <c r="V605" t="b">
        <v>0</v>
      </c>
      <c r="W605" t="s">
        <v>21</v>
      </c>
      <c r="Z605" t="b">
        <v>1</v>
      </c>
      <c r="AA605" t="s">
        <v>43</v>
      </c>
      <c r="AB605" t="b">
        <v>1</v>
      </c>
      <c r="AD605" s="2"/>
    </row>
    <row r="606" spans="1:30" x14ac:dyDescent="0.25">
      <c r="A606">
        <v>605</v>
      </c>
      <c r="B606" t="s">
        <v>25</v>
      </c>
      <c r="C606" s="3">
        <v>28904</v>
      </c>
      <c r="D606" s="2">
        <f ca="1">DATEDIF(gym_membership[[#This Row],[birthday]],TODAY(),"y")</f>
        <v>47</v>
      </c>
      <c r="E606">
        <v>45</v>
      </c>
      <c r="F606" t="s">
        <v>22</v>
      </c>
      <c r="G606">
        <v>3</v>
      </c>
      <c r="H606" t="s">
        <v>214</v>
      </c>
      <c r="I606" t="s">
        <v>34</v>
      </c>
      <c r="J606" t="s">
        <v>26</v>
      </c>
      <c r="K606" t="s">
        <v>57</v>
      </c>
      <c r="N606" t="b">
        <v>1</v>
      </c>
      <c r="O606" t="s">
        <v>67</v>
      </c>
      <c r="P606" t="s">
        <v>67</v>
      </c>
      <c r="S606" s="1">
        <v>0.73750000000000004</v>
      </c>
      <c r="T606" s="1">
        <v>0.85833333333333328</v>
      </c>
      <c r="U606">
        <v>174</v>
      </c>
      <c r="V606" t="b">
        <v>0</v>
      </c>
      <c r="W606" t="s">
        <v>21</v>
      </c>
      <c r="Z606" t="b">
        <v>0</v>
      </c>
      <c r="AA606" t="s">
        <v>456</v>
      </c>
      <c r="AB606" t="b">
        <v>1</v>
      </c>
      <c r="AD606" s="2"/>
    </row>
    <row r="607" spans="1:30" x14ac:dyDescent="0.25">
      <c r="A607">
        <v>606</v>
      </c>
      <c r="B607" t="s">
        <v>25</v>
      </c>
      <c r="C607" s="3">
        <v>34753</v>
      </c>
      <c r="D607" s="2">
        <f ca="1">DATEDIF(gym_membership[[#This Row],[birthday]],TODAY(),"y")</f>
        <v>31</v>
      </c>
      <c r="E607">
        <v>29</v>
      </c>
      <c r="F607" t="s">
        <v>22</v>
      </c>
      <c r="G607">
        <v>3</v>
      </c>
      <c r="H607" t="s">
        <v>78</v>
      </c>
      <c r="I607" t="s">
        <v>44</v>
      </c>
      <c r="J607" t="s">
        <v>34</v>
      </c>
      <c r="K607" t="s">
        <v>95</v>
      </c>
      <c r="N607" t="b">
        <v>1</v>
      </c>
      <c r="O607" t="s">
        <v>347</v>
      </c>
      <c r="P607" t="s">
        <v>27</v>
      </c>
      <c r="Q607" t="s">
        <v>67</v>
      </c>
      <c r="R607" t="s">
        <v>100</v>
      </c>
      <c r="S607" s="1">
        <v>0.86041666666666672</v>
      </c>
      <c r="T607" s="1">
        <v>0.92291666666666672</v>
      </c>
      <c r="U607">
        <v>90</v>
      </c>
      <c r="V607" t="b">
        <v>0</v>
      </c>
      <c r="W607" t="s">
        <v>21</v>
      </c>
      <c r="Z607" t="b">
        <v>1</v>
      </c>
      <c r="AA607" t="s">
        <v>45</v>
      </c>
      <c r="AB607" t="b">
        <v>0</v>
      </c>
      <c r="AD607" s="2"/>
    </row>
    <row r="608" spans="1:30" x14ac:dyDescent="0.25">
      <c r="A608">
        <v>607</v>
      </c>
      <c r="B608" t="s">
        <v>17</v>
      </c>
      <c r="C608" s="3">
        <v>30223</v>
      </c>
      <c r="D608" s="2">
        <f ca="1">DATEDIF(gym_membership[[#This Row],[birthday]],TODAY(),"y")</f>
        <v>43</v>
      </c>
      <c r="E608">
        <v>42</v>
      </c>
      <c r="F608" t="s">
        <v>18</v>
      </c>
      <c r="G608">
        <v>3</v>
      </c>
      <c r="H608" t="s">
        <v>164</v>
      </c>
      <c r="I608" t="s">
        <v>34</v>
      </c>
      <c r="J608" t="s">
        <v>26</v>
      </c>
      <c r="K608" t="s">
        <v>95</v>
      </c>
      <c r="N608" t="b">
        <v>0</v>
      </c>
      <c r="O608" t="s">
        <v>21</v>
      </c>
      <c r="S608" s="1">
        <v>0.68055555555555558</v>
      </c>
      <c r="T608" s="1">
        <v>0.72222222222222221</v>
      </c>
      <c r="U608">
        <v>60</v>
      </c>
      <c r="V608" t="b">
        <v>1</v>
      </c>
      <c r="W608" t="s">
        <v>39</v>
      </c>
      <c r="X608" t="s">
        <v>39</v>
      </c>
      <c r="Z608" t="b">
        <v>1</v>
      </c>
      <c r="AA608" t="s">
        <v>29</v>
      </c>
      <c r="AB608" t="b">
        <v>0</v>
      </c>
      <c r="AD608" s="2"/>
    </row>
    <row r="609" spans="1:30" x14ac:dyDescent="0.25">
      <c r="A609">
        <v>608</v>
      </c>
      <c r="B609" t="s">
        <v>17</v>
      </c>
      <c r="C609" s="3">
        <v>38846</v>
      </c>
      <c r="D609" s="2">
        <f ca="1">DATEDIF(gym_membership[[#This Row],[birthday]],TODAY(),"y")</f>
        <v>20</v>
      </c>
      <c r="E609">
        <v>18</v>
      </c>
      <c r="F609" t="s">
        <v>22</v>
      </c>
      <c r="G609">
        <v>3</v>
      </c>
      <c r="H609" t="s">
        <v>30</v>
      </c>
      <c r="I609" t="s">
        <v>26</v>
      </c>
      <c r="J609" t="s">
        <v>57</v>
      </c>
      <c r="K609" t="s">
        <v>77</v>
      </c>
      <c r="N609" t="b">
        <v>1</v>
      </c>
      <c r="O609" t="s">
        <v>348</v>
      </c>
      <c r="P609" t="s">
        <v>67</v>
      </c>
      <c r="Q609" t="s">
        <v>91</v>
      </c>
      <c r="R609" t="s">
        <v>96</v>
      </c>
      <c r="S609" s="1">
        <v>0.36527777777777776</v>
      </c>
      <c r="T609" s="1">
        <v>0.45347222222222222</v>
      </c>
      <c r="U609">
        <v>127</v>
      </c>
      <c r="V609" t="b">
        <v>0</v>
      </c>
      <c r="W609" t="s">
        <v>21</v>
      </c>
      <c r="Z609" t="b">
        <v>0</v>
      </c>
      <c r="AA609" t="s">
        <v>456</v>
      </c>
      <c r="AB609" t="b">
        <v>0</v>
      </c>
      <c r="AD609" s="2"/>
    </row>
    <row r="610" spans="1:30" x14ac:dyDescent="0.25">
      <c r="A610">
        <v>609</v>
      </c>
      <c r="B610" t="s">
        <v>17</v>
      </c>
      <c r="C610" s="3">
        <v>32283</v>
      </c>
      <c r="D610" s="2">
        <f ca="1">DATEDIF(gym_membership[[#This Row],[birthday]],TODAY(),"y")</f>
        <v>38</v>
      </c>
      <c r="E610">
        <v>36</v>
      </c>
      <c r="F610" t="s">
        <v>22</v>
      </c>
      <c r="G610">
        <v>3</v>
      </c>
      <c r="H610" t="s">
        <v>104</v>
      </c>
      <c r="I610" t="s">
        <v>44</v>
      </c>
      <c r="J610" t="s">
        <v>95</v>
      </c>
      <c r="K610" t="s">
        <v>57</v>
      </c>
      <c r="N610" t="b">
        <v>1</v>
      </c>
      <c r="O610" t="s">
        <v>349</v>
      </c>
      <c r="P610" t="s">
        <v>96</v>
      </c>
      <c r="Q610" t="s">
        <v>128</v>
      </c>
      <c r="R610" t="s">
        <v>91</v>
      </c>
      <c r="S610" s="1">
        <v>0.73124999999999996</v>
      </c>
      <c r="T610" s="1">
        <v>0.80277777777777781</v>
      </c>
      <c r="U610">
        <v>103</v>
      </c>
      <c r="V610" t="b">
        <v>0</v>
      </c>
      <c r="W610" t="s">
        <v>21</v>
      </c>
      <c r="Z610" t="b">
        <v>0</v>
      </c>
      <c r="AA610" t="s">
        <v>456</v>
      </c>
      <c r="AB610" t="b">
        <v>1</v>
      </c>
      <c r="AD610" s="2"/>
    </row>
    <row r="611" spans="1:30" x14ac:dyDescent="0.25">
      <c r="A611">
        <v>610</v>
      </c>
      <c r="B611" t="s">
        <v>17</v>
      </c>
      <c r="C611" s="3">
        <v>33074</v>
      </c>
      <c r="D611" s="2">
        <f ca="1">DATEDIF(gym_membership[[#This Row],[birthday]],TODAY(),"y")</f>
        <v>36</v>
      </c>
      <c r="E611">
        <v>34</v>
      </c>
      <c r="F611" t="s">
        <v>22</v>
      </c>
      <c r="G611">
        <v>2</v>
      </c>
      <c r="H611" t="s">
        <v>289</v>
      </c>
      <c r="I611" t="s">
        <v>34</v>
      </c>
      <c r="J611" t="s">
        <v>95</v>
      </c>
      <c r="N611" t="b">
        <v>1</v>
      </c>
      <c r="O611" t="s">
        <v>337</v>
      </c>
      <c r="P611" t="s">
        <v>103</v>
      </c>
      <c r="Q611" t="s">
        <v>120</v>
      </c>
      <c r="R611" t="s">
        <v>58</v>
      </c>
      <c r="S611" s="1">
        <v>0.5854166666666667</v>
      </c>
      <c r="T611" s="1">
        <v>0.67361111111111116</v>
      </c>
      <c r="U611">
        <v>127</v>
      </c>
      <c r="V611" t="b">
        <v>1</v>
      </c>
      <c r="W611" t="s">
        <v>31</v>
      </c>
      <c r="X611" t="s">
        <v>31</v>
      </c>
      <c r="Z611" t="b">
        <v>0</v>
      </c>
      <c r="AA611" t="s">
        <v>456</v>
      </c>
      <c r="AB611" t="b">
        <v>1</v>
      </c>
      <c r="AD611" s="2"/>
    </row>
    <row r="612" spans="1:30" x14ac:dyDescent="0.25">
      <c r="A612">
        <v>611</v>
      </c>
      <c r="B612" t="s">
        <v>17</v>
      </c>
      <c r="C612" s="3">
        <v>32115</v>
      </c>
      <c r="D612" s="2">
        <f ca="1">DATEDIF(gym_membership[[#This Row],[birthday]],TODAY(),"y")</f>
        <v>38</v>
      </c>
      <c r="E612">
        <v>36</v>
      </c>
      <c r="F612" t="s">
        <v>18</v>
      </c>
      <c r="G612">
        <v>1</v>
      </c>
      <c r="H612" t="s">
        <v>44</v>
      </c>
      <c r="I612" t="s">
        <v>44</v>
      </c>
      <c r="N612" t="b">
        <v>1</v>
      </c>
      <c r="O612" t="s">
        <v>236</v>
      </c>
      <c r="P612" t="s">
        <v>103</v>
      </c>
      <c r="Q612" t="s">
        <v>58</v>
      </c>
      <c r="S612" s="1">
        <v>0.61736111111111114</v>
      </c>
      <c r="T612" s="1">
        <v>0.68888888888888888</v>
      </c>
      <c r="U612">
        <v>103</v>
      </c>
      <c r="V612" t="b">
        <v>1</v>
      </c>
      <c r="W612" t="s">
        <v>153</v>
      </c>
      <c r="X612" t="s">
        <v>31</v>
      </c>
      <c r="Y612" t="s">
        <v>76</v>
      </c>
      <c r="Z612" t="b">
        <v>1</v>
      </c>
      <c r="AA612" t="s">
        <v>24</v>
      </c>
      <c r="AB612" t="b">
        <v>0</v>
      </c>
      <c r="AD612" s="2"/>
    </row>
    <row r="613" spans="1:30" x14ac:dyDescent="0.25">
      <c r="A613">
        <v>612</v>
      </c>
      <c r="B613" t="s">
        <v>17</v>
      </c>
      <c r="C613" s="3">
        <v>28983</v>
      </c>
      <c r="D613" s="2">
        <f ca="1">DATEDIF(gym_membership[[#This Row],[birthday]],TODAY(),"y")</f>
        <v>47</v>
      </c>
      <c r="E613">
        <v>45</v>
      </c>
      <c r="F613" t="s">
        <v>22</v>
      </c>
      <c r="G613">
        <v>3</v>
      </c>
      <c r="H613" t="s">
        <v>122</v>
      </c>
      <c r="I613" t="s">
        <v>34</v>
      </c>
      <c r="J613" t="s">
        <v>94</v>
      </c>
      <c r="K613" t="s">
        <v>77</v>
      </c>
      <c r="N613" t="b">
        <v>0</v>
      </c>
      <c r="O613" t="s">
        <v>21</v>
      </c>
      <c r="S613" s="1">
        <v>0.5708333333333333</v>
      </c>
      <c r="T613" s="1">
        <v>0.66249999999999998</v>
      </c>
      <c r="U613">
        <v>132</v>
      </c>
      <c r="V613" t="b">
        <v>0</v>
      </c>
      <c r="W613" t="s">
        <v>21</v>
      </c>
      <c r="Z613" t="b">
        <v>0</v>
      </c>
      <c r="AA613" t="s">
        <v>456</v>
      </c>
      <c r="AB613" t="b">
        <v>0</v>
      </c>
      <c r="AD613" s="2"/>
    </row>
    <row r="614" spans="1:30" x14ac:dyDescent="0.25">
      <c r="A614">
        <v>613</v>
      </c>
      <c r="B614" t="s">
        <v>25</v>
      </c>
      <c r="C614" s="3">
        <v>29792</v>
      </c>
      <c r="D614" s="2">
        <f ca="1">DATEDIF(gym_membership[[#This Row],[birthday]],TODAY(),"y")</f>
        <v>45</v>
      </c>
      <c r="E614">
        <v>43</v>
      </c>
      <c r="F614" t="s">
        <v>22</v>
      </c>
      <c r="G614">
        <v>5</v>
      </c>
      <c r="H614" t="s">
        <v>176</v>
      </c>
      <c r="I614" t="s">
        <v>44</v>
      </c>
      <c r="J614" t="s">
        <v>26</v>
      </c>
      <c r="K614" t="s">
        <v>94</v>
      </c>
      <c r="L614" t="s">
        <v>95</v>
      </c>
      <c r="M614" t="s">
        <v>57</v>
      </c>
      <c r="N614" t="b">
        <v>1</v>
      </c>
      <c r="O614" t="s">
        <v>350</v>
      </c>
      <c r="P614" t="s">
        <v>27</v>
      </c>
      <c r="Q614" t="s">
        <v>103</v>
      </c>
      <c r="R614" t="s">
        <v>41</v>
      </c>
      <c r="S614" s="1">
        <v>0.73055555555555551</v>
      </c>
      <c r="T614" s="1">
        <v>0.76111111111111107</v>
      </c>
      <c r="U614">
        <v>44</v>
      </c>
      <c r="V614" t="b">
        <v>0</v>
      </c>
      <c r="W614" t="s">
        <v>21</v>
      </c>
      <c r="Z614" t="b">
        <v>1</v>
      </c>
      <c r="AA614" t="s">
        <v>29</v>
      </c>
      <c r="AB614" t="b">
        <v>1</v>
      </c>
      <c r="AD614" s="2"/>
    </row>
    <row r="615" spans="1:30" x14ac:dyDescent="0.25">
      <c r="A615">
        <v>614</v>
      </c>
      <c r="B615" t="s">
        <v>25</v>
      </c>
      <c r="C615" s="3">
        <v>39669</v>
      </c>
      <c r="D615" s="2">
        <f ca="1">DATEDIF(gym_membership[[#This Row],[birthday]],TODAY(),"y")</f>
        <v>18</v>
      </c>
      <c r="E615">
        <v>16</v>
      </c>
      <c r="F615" t="s">
        <v>18</v>
      </c>
      <c r="G615">
        <v>3</v>
      </c>
      <c r="H615" t="s">
        <v>56</v>
      </c>
      <c r="I615" t="s">
        <v>26</v>
      </c>
      <c r="J615" t="s">
        <v>95</v>
      </c>
      <c r="K615" t="s">
        <v>57</v>
      </c>
      <c r="N615" t="b">
        <v>0</v>
      </c>
      <c r="O615" t="s">
        <v>21</v>
      </c>
      <c r="S615" s="1">
        <v>0.40069444444444446</v>
      </c>
      <c r="T615" s="1">
        <v>0.49027777777777776</v>
      </c>
      <c r="U615">
        <v>129</v>
      </c>
      <c r="V615" t="b">
        <v>1</v>
      </c>
      <c r="W615" t="s">
        <v>39</v>
      </c>
      <c r="X615" t="s">
        <v>39</v>
      </c>
      <c r="Z615" t="b">
        <v>0</v>
      </c>
      <c r="AA615" t="s">
        <v>456</v>
      </c>
      <c r="AB615" t="b">
        <v>1</v>
      </c>
      <c r="AD615" s="2"/>
    </row>
    <row r="616" spans="1:30" x14ac:dyDescent="0.25">
      <c r="A616">
        <v>615</v>
      </c>
      <c r="B616" t="s">
        <v>25</v>
      </c>
      <c r="C616" s="3">
        <v>31226</v>
      </c>
      <c r="D616" s="2">
        <f ca="1">DATEDIF(gym_membership[[#This Row],[birthday]],TODAY(),"y")</f>
        <v>41</v>
      </c>
      <c r="E616">
        <v>39</v>
      </c>
      <c r="F616" t="s">
        <v>18</v>
      </c>
      <c r="G616">
        <v>3</v>
      </c>
      <c r="H616" t="s">
        <v>173</v>
      </c>
      <c r="I616" t="s">
        <v>34</v>
      </c>
      <c r="J616" t="s">
        <v>95</v>
      </c>
      <c r="K616" t="s">
        <v>57</v>
      </c>
      <c r="N616" t="b">
        <v>0</v>
      </c>
      <c r="O616" t="s">
        <v>21</v>
      </c>
      <c r="S616" s="1">
        <v>0.75486111111111109</v>
      </c>
      <c r="T616" s="1">
        <v>0.87430555555555556</v>
      </c>
      <c r="U616">
        <v>172</v>
      </c>
      <c r="V616" t="b">
        <v>1</v>
      </c>
      <c r="W616" t="s">
        <v>114</v>
      </c>
      <c r="X616" t="s">
        <v>59</v>
      </c>
      <c r="Y616" t="s">
        <v>76</v>
      </c>
      <c r="Z616" t="b">
        <v>0</v>
      </c>
      <c r="AA616" t="s">
        <v>456</v>
      </c>
      <c r="AB616" t="b">
        <v>0</v>
      </c>
      <c r="AD616" s="2"/>
    </row>
    <row r="617" spans="1:30" x14ac:dyDescent="0.25">
      <c r="A617">
        <v>616</v>
      </c>
      <c r="B617" t="s">
        <v>25</v>
      </c>
      <c r="C617" s="3">
        <v>32021</v>
      </c>
      <c r="D617" s="2">
        <f ca="1">DATEDIF(gym_membership[[#This Row],[birthday]],TODAY(),"y")</f>
        <v>38</v>
      </c>
      <c r="E617">
        <v>37</v>
      </c>
      <c r="F617" t="s">
        <v>22</v>
      </c>
      <c r="G617">
        <v>2</v>
      </c>
      <c r="H617" t="s">
        <v>98</v>
      </c>
      <c r="I617" t="s">
        <v>57</v>
      </c>
      <c r="J617" t="s">
        <v>77</v>
      </c>
      <c r="N617" t="b">
        <v>0</v>
      </c>
      <c r="O617" t="s">
        <v>21</v>
      </c>
      <c r="S617" s="1">
        <v>0.47916666666666669</v>
      </c>
      <c r="T617" s="1">
        <v>0.50694444444444442</v>
      </c>
      <c r="U617">
        <v>40</v>
      </c>
      <c r="V617" t="b">
        <v>1</v>
      </c>
      <c r="W617" t="s">
        <v>76</v>
      </c>
      <c r="X617" t="s">
        <v>76</v>
      </c>
      <c r="Z617" t="b">
        <v>0</v>
      </c>
      <c r="AA617" t="s">
        <v>456</v>
      </c>
      <c r="AB617" t="b">
        <v>0</v>
      </c>
      <c r="AD617" s="2"/>
    </row>
    <row r="618" spans="1:30" x14ac:dyDescent="0.25">
      <c r="A618">
        <v>617</v>
      </c>
      <c r="B618" t="s">
        <v>25</v>
      </c>
      <c r="C618" s="3">
        <v>36542</v>
      </c>
      <c r="D618" s="2">
        <f ca="1">DATEDIF(gym_membership[[#This Row],[birthday]],TODAY(),"y")</f>
        <v>26</v>
      </c>
      <c r="E618">
        <v>24</v>
      </c>
      <c r="F618" t="s">
        <v>22</v>
      </c>
      <c r="G618">
        <v>4</v>
      </c>
      <c r="H618" t="s">
        <v>259</v>
      </c>
      <c r="I618" t="s">
        <v>44</v>
      </c>
      <c r="J618" t="s">
        <v>26</v>
      </c>
      <c r="K618" t="s">
        <v>94</v>
      </c>
      <c r="L618" t="s">
        <v>57</v>
      </c>
      <c r="N618" t="b">
        <v>0</v>
      </c>
      <c r="O618" t="s">
        <v>21</v>
      </c>
      <c r="S618" s="1">
        <v>0.64444444444444449</v>
      </c>
      <c r="T618" s="1">
        <v>0.69027777777777777</v>
      </c>
      <c r="U618">
        <v>66</v>
      </c>
      <c r="V618" t="b">
        <v>0</v>
      </c>
      <c r="W618" t="s">
        <v>21</v>
      </c>
      <c r="Z618" t="b">
        <v>1</v>
      </c>
      <c r="AA618" t="s">
        <v>24</v>
      </c>
      <c r="AB618" t="b">
        <v>0</v>
      </c>
      <c r="AD618" s="2"/>
    </row>
    <row r="619" spans="1:30" x14ac:dyDescent="0.25">
      <c r="A619">
        <v>618</v>
      </c>
      <c r="B619" t="s">
        <v>25</v>
      </c>
      <c r="C619" s="3">
        <v>31712</v>
      </c>
      <c r="D619" s="2">
        <f ca="1">DATEDIF(gym_membership[[#This Row],[birthday]],TODAY(),"y")</f>
        <v>39</v>
      </c>
      <c r="E619">
        <v>37</v>
      </c>
      <c r="F619" t="s">
        <v>18</v>
      </c>
      <c r="G619">
        <v>3</v>
      </c>
      <c r="H619" t="s">
        <v>50</v>
      </c>
      <c r="I619" t="s">
        <v>34</v>
      </c>
      <c r="J619" t="s">
        <v>57</v>
      </c>
      <c r="K619" t="s">
        <v>77</v>
      </c>
      <c r="N619" t="b">
        <v>0</v>
      </c>
      <c r="O619" t="s">
        <v>21</v>
      </c>
      <c r="S619" s="1">
        <v>0.85763888888888884</v>
      </c>
      <c r="T619" s="1">
        <v>0.95694444444444449</v>
      </c>
      <c r="U619">
        <v>143</v>
      </c>
      <c r="V619" t="b">
        <v>0</v>
      </c>
      <c r="W619" t="s">
        <v>21</v>
      </c>
      <c r="Z619" t="b">
        <v>1</v>
      </c>
      <c r="AA619" t="s">
        <v>43</v>
      </c>
      <c r="AB619" t="b">
        <v>0</v>
      </c>
      <c r="AD619" s="2"/>
    </row>
    <row r="620" spans="1:30" x14ac:dyDescent="0.25">
      <c r="A620">
        <v>619</v>
      </c>
      <c r="B620" t="s">
        <v>25</v>
      </c>
      <c r="C620" s="3">
        <v>27779</v>
      </c>
      <c r="D620" s="2">
        <f ca="1">DATEDIF(gym_membership[[#This Row],[birthday]],TODAY(),"y")</f>
        <v>50</v>
      </c>
      <c r="E620">
        <v>48</v>
      </c>
      <c r="F620" t="s">
        <v>18</v>
      </c>
      <c r="G620">
        <v>3</v>
      </c>
      <c r="H620" t="s">
        <v>93</v>
      </c>
      <c r="I620" t="s">
        <v>34</v>
      </c>
      <c r="J620" t="s">
        <v>94</v>
      </c>
      <c r="K620" t="s">
        <v>57</v>
      </c>
      <c r="N620" t="b">
        <v>0</v>
      </c>
      <c r="O620" t="s">
        <v>21</v>
      </c>
      <c r="S620" s="1">
        <v>0.60347222222222219</v>
      </c>
      <c r="T620" s="1">
        <v>0.63194444444444442</v>
      </c>
      <c r="U620">
        <v>41</v>
      </c>
      <c r="V620" t="b">
        <v>0</v>
      </c>
      <c r="W620" t="s">
        <v>21</v>
      </c>
      <c r="Z620" t="b">
        <v>1</v>
      </c>
      <c r="AA620" t="s">
        <v>43</v>
      </c>
      <c r="AB620" t="b">
        <v>0</v>
      </c>
      <c r="AD620" s="2"/>
    </row>
    <row r="621" spans="1:30" x14ac:dyDescent="0.25">
      <c r="A621">
        <v>620</v>
      </c>
      <c r="B621" t="s">
        <v>17</v>
      </c>
      <c r="C621" s="3">
        <v>36638</v>
      </c>
      <c r="D621" s="2">
        <f ca="1">DATEDIF(gym_membership[[#This Row],[birthday]],TODAY(),"y")</f>
        <v>26</v>
      </c>
      <c r="E621">
        <v>24</v>
      </c>
      <c r="F621" t="s">
        <v>22</v>
      </c>
      <c r="G621">
        <v>2</v>
      </c>
      <c r="H621" t="s">
        <v>32</v>
      </c>
      <c r="I621" t="s">
        <v>95</v>
      </c>
      <c r="J621" t="s">
        <v>77</v>
      </c>
      <c r="N621" t="b">
        <v>1</v>
      </c>
      <c r="O621" t="s">
        <v>72</v>
      </c>
      <c r="P621" t="s">
        <v>72</v>
      </c>
      <c r="S621" s="1">
        <v>0.43472222222222223</v>
      </c>
      <c r="T621" s="1">
        <v>0.45694444444444443</v>
      </c>
      <c r="U621">
        <v>32</v>
      </c>
      <c r="V621" t="b">
        <v>1</v>
      </c>
      <c r="W621" t="s">
        <v>31</v>
      </c>
      <c r="X621" t="s">
        <v>31</v>
      </c>
      <c r="Z621" t="b">
        <v>0</v>
      </c>
      <c r="AA621" t="s">
        <v>456</v>
      </c>
      <c r="AB621" t="b">
        <v>0</v>
      </c>
      <c r="AD621" s="2"/>
    </row>
    <row r="622" spans="1:30" x14ac:dyDescent="0.25">
      <c r="A622">
        <v>621</v>
      </c>
      <c r="B622" t="s">
        <v>25</v>
      </c>
      <c r="C622" s="3">
        <v>30599</v>
      </c>
      <c r="D622" s="2">
        <f ca="1">DATEDIF(gym_membership[[#This Row],[birthday]],TODAY(),"y")</f>
        <v>42</v>
      </c>
      <c r="E622">
        <v>41</v>
      </c>
      <c r="F622" t="s">
        <v>22</v>
      </c>
      <c r="G622">
        <v>1</v>
      </c>
      <c r="H622" t="s">
        <v>95</v>
      </c>
      <c r="I622" t="s">
        <v>95</v>
      </c>
      <c r="N622" t="b">
        <v>0</v>
      </c>
      <c r="O622" t="s">
        <v>21</v>
      </c>
      <c r="S622" s="1">
        <v>0.45277777777777778</v>
      </c>
      <c r="T622" s="1">
        <v>0.51736111111111116</v>
      </c>
      <c r="U622">
        <v>93</v>
      </c>
      <c r="V622" t="b">
        <v>1</v>
      </c>
      <c r="W622" t="s">
        <v>65</v>
      </c>
      <c r="X622" t="s">
        <v>65</v>
      </c>
      <c r="Z622" t="b">
        <v>0</v>
      </c>
      <c r="AA622" t="s">
        <v>456</v>
      </c>
      <c r="AB622" t="b">
        <v>1</v>
      </c>
      <c r="AD622" s="2"/>
    </row>
    <row r="623" spans="1:30" x14ac:dyDescent="0.25">
      <c r="A623">
        <v>622</v>
      </c>
      <c r="B623" t="s">
        <v>17</v>
      </c>
      <c r="C623" s="3">
        <v>27874</v>
      </c>
      <c r="D623" s="2">
        <f ca="1">DATEDIF(gym_membership[[#This Row],[birthday]],TODAY(),"y")</f>
        <v>50</v>
      </c>
      <c r="E623">
        <v>48</v>
      </c>
      <c r="F623" t="s">
        <v>18</v>
      </c>
      <c r="G623">
        <v>3</v>
      </c>
      <c r="H623" t="s">
        <v>193</v>
      </c>
      <c r="I623" t="s">
        <v>44</v>
      </c>
      <c r="J623" t="s">
        <v>26</v>
      </c>
      <c r="K623" t="s">
        <v>95</v>
      </c>
      <c r="N623" t="b">
        <v>1</v>
      </c>
      <c r="O623" t="s">
        <v>283</v>
      </c>
      <c r="P623" t="s">
        <v>120</v>
      </c>
      <c r="Q623" t="s">
        <v>96</v>
      </c>
      <c r="S623" s="1">
        <v>0.64583333333333337</v>
      </c>
      <c r="T623" s="1">
        <v>0.68472222222222223</v>
      </c>
      <c r="U623">
        <v>56</v>
      </c>
      <c r="V623" t="b">
        <v>1</v>
      </c>
      <c r="W623" t="s">
        <v>204</v>
      </c>
      <c r="X623" t="s">
        <v>39</v>
      </c>
      <c r="Y623" t="s">
        <v>51</v>
      </c>
      <c r="Z623" t="b">
        <v>1</v>
      </c>
      <c r="AA623" t="s">
        <v>45</v>
      </c>
      <c r="AB623" t="b">
        <v>0</v>
      </c>
      <c r="AD623" s="2"/>
    </row>
    <row r="624" spans="1:30" x14ac:dyDescent="0.25">
      <c r="A624">
        <v>623</v>
      </c>
      <c r="B624" t="s">
        <v>17</v>
      </c>
      <c r="C624" s="3">
        <v>40628</v>
      </c>
      <c r="D624" s="2">
        <f ca="1">DATEDIF(gym_membership[[#This Row],[birthday]],TODAY(),"y")</f>
        <v>15</v>
      </c>
      <c r="E624">
        <v>13</v>
      </c>
      <c r="F624" t="s">
        <v>18</v>
      </c>
      <c r="G624">
        <v>2</v>
      </c>
      <c r="H624" t="s">
        <v>140</v>
      </c>
      <c r="I624" t="s">
        <v>26</v>
      </c>
      <c r="J624" t="s">
        <v>94</v>
      </c>
      <c r="N624" t="b">
        <v>1</v>
      </c>
      <c r="O624" t="s">
        <v>139</v>
      </c>
      <c r="P624" t="s">
        <v>103</v>
      </c>
      <c r="Q624" t="s">
        <v>67</v>
      </c>
      <c r="S624" s="1">
        <v>0.35069444444444442</v>
      </c>
      <c r="T624" s="1">
        <v>0.38611111111111113</v>
      </c>
      <c r="U624">
        <v>51</v>
      </c>
      <c r="V624" t="b">
        <v>1</v>
      </c>
      <c r="W624" t="s">
        <v>191</v>
      </c>
      <c r="X624" t="s">
        <v>31</v>
      </c>
      <c r="Y624" t="s">
        <v>65</v>
      </c>
      <c r="Z624" t="b">
        <v>1</v>
      </c>
      <c r="AA624" t="s">
        <v>43</v>
      </c>
      <c r="AB624" t="b">
        <v>0</v>
      </c>
      <c r="AD624" s="2"/>
    </row>
    <row r="625" spans="1:30" x14ac:dyDescent="0.25">
      <c r="A625">
        <v>624</v>
      </c>
      <c r="B625" t="s">
        <v>25</v>
      </c>
      <c r="C625" s="3">
        <v>29524</v>
      </c>
      <c r="D625" s="2">
        <f ca="1">DATEDIF(gym_membership[[#This Row],[birthday]],TODAY(),"y")</f>
        <v>45</v>
      </c>
      <c r="E625">
        <v>43</v>
      </c>
      <c r="F625" t="s">
        <v>18</v>
      </c>
      <c r="G625">
        <v>3</v>
      </c>
      <c r="H625" t="s">
        <v>104</v>
      </c>
      <c r="I625" t="s">
        <v>44</v>
      </c>
      <c r="J625" t="s">
        <v>95</v>
      </c>
      <c r="K625" t="s">
        <v>57</v>
      </c>
      <c r="N625" t="b">
        <v>0</v>
      </c>
      <c r="O625" t="s">
        <v>21</v>
      </c>
      <c r="S625" s="1">
        <v>0.36041666666666666</v>
      </c>
      <c r="T625" s="1">
        <v>0.40694444444444444</v>
      </c>
      <c r="U625">
        <v>67</v>
      </c>
      <c r="V625" t="b">
        <v>0</v>
      </c>
      <c r="W625" t="s">
        <v>21</v>
      </c>
      <c r="Z625" t="b">
        <v>0</v>
      </c>
      <c r="AA625" t="s">
        <v>456</v>
      </c>
      <c r="AB625" t="b">
        <v>0</v>
      </c>
      <c r="AD625" s="2"/>
    </row>
    <row r="626" spans="1:30" x14ac:dyDescent="0.25">
      <c r="A626">
        <v>625</v>
      </c>
      <c r="B626" t="s">
        <v>17</v>
      </c>
      <c r="C626" s="3">
        <v>37536</v>
      </c>
      <c r="D626" s="2">
        <f ca="1">DATEDIF(gym_membership[[#This Row],[birthday]],TODAY(),"y")</f>
        <v>23</v>
      </c>
      <c r="E626">
        <v>22</v>
      </c>
      <c r="F626" t="s">
        <v>18</v>
      </c>
      <c r="G626">
        <v>4</v>
      </c>
      <c r="H626" t="s">
        <v>127</v>
      </c>
      <c r="I626" t="s">
        <v>44</v>
      </c>
      <c r="J626" t="s">
        <v>95</v>
      </c>
      <c r="K626" t="s">
        <v>57</v>
      </c>
      <c r="L626" t="s">
        <v>77</v>
      </c>
      <c r="N626" t="b">
        <v>0</v>
      </c>
      <c r="O626" t="s">
        <v>21</v>
      </c>
      <c r="S626" s="1">
        <v>0.81111111111111112</v>
      </c>
      <c r="T626" s="1">
        <v>0.9291666666666667</v>
      </c>
      <c r="U626">
        <v>170</v>
      </c>
      <c r="V626" t="b">
        <v>1</v>
      </c>
      <c r="W626" t="s">
        <v>130</v>
      </c>
      <c r="X626" t="s">
        <v>76</v>
      </c>
      <c r="Y626" t="s">
        <v>39</v>
      </c>
      <c r="Z626" t="b">
        <v>1</v>
      </c>
      <c r="AA626" t="s">
        <v>45</v>
      </c>
      <c r="AB626" t="b">
        <v>0</v>
      </c>
      <c r="AD626" s="2"/>
    </row>
    <row r="627" spans="1:30" x14ac:dyDescent="0.25">
      <c r="A627">
        <v>626</v>
      </c>
      <c r="B627" t="s">
        <v>25</v>
      </c>
      <c r="C627" s="3">
        <v>37896</v>
      </c>
      <c r="D627" s="2">
        <f ca="1">DATEDIF(gym_membership[[#This Row],[birthday]],TODAY(),"y")</f>
        <v>22</v>
      </c>
      <c r="E627">
        <v>21</v>
      </c>
      <c r="F627" t="s">
        <v>22</v>
      </c>
      <c r="G627">
        <v>5</v>
      </c>
      <c r="H627" t="s">
        <v>82</v>
      </c>
      <c r="I627" t="s">
        <v>44</v>
      </c>
      <c r="J627" t="s">
        <v>34</v>
      </c>
      <c r="K627" t="s">
        <v>26</v>
      </c>
      <c r="L627" t="s">
        <v>94</v>
      </c>
      <c r="M627" t="s">
        <v>77</v>
      </c>
      <c r="N627" t="b">
        <v>1</v>
      </c>
      <c r="O627" t="s">
        <v>351</v>
      </c>
      <c r="P627" t="s">
        <v>91</v>
      </c>
      <c r="Q627" t="s">
        <v>128</v>
      </c>
      <c r="S627" s="1">
        <v>0.70625000000000004</v>
      </c>
      <c r="T627" s="1">
        <v>0.81388888888888888</v>
      </c>
      <c r="U627">
        <v>155</v>
      </c>
      <c r="V627" t="b">
        <v>0</v>
      </c>
      <c r="W627" t="s">
        <v>21</v>
      </c>
      <c r="Z627" t="b">
        <v>0</v>
      </c>
      <c r="AA627" t="s">
        <v>456</v>
      </c>
      <c r="AB627" t="b">
        <v>1</v>
      </c>
      <c r="AD627" s="2"/>
    </row>
    <row r="628" spans="1:30" x14ac:dyDescent="0.25">
      <c r="A628">
        <v>627</v>
      </c>
      <c r="B628" t="s">
        <v>17</v>
      </c>
      <c r="C628" s="3">
        <v>34869</v>
      </c>
      <c r="D628" s="2">
        <f ca="1">DATEDIF(gym_membership[[#This Row],[birthday]],TODAY(),"y")</f>
        <v>31</v>
      </c>
      <c r="E628">
        <v>29</v>
      </c>
      <c r="F628" t="s">
        <v>18</v>
      </c>
      <c r="G628">
        <v>2</v>
      </c>
      <c r="H628" t="s">
        <v>106</v>
      </c>
      <c r="I628" t="s">
        <v>26</v>
      </c>
      <c r="J628" t="s">
        <v>57</v>
      </c>
      <c r="N628" t="b">
        <v>1</v>
      </c>
      <c r="O628" t="s">
        <v>352</v>
      </c>
      <c r="P628" t="s">
        <v>100</v>
      </c>
      <c r="Q628" t="s">
        <v>91</v>
      </c>
      <c r="S628" s="1">
        <v>0.83333333333333337</v>
      </c>
      <c r="T628" s="1">
        <v>0.90972222222222221</v>
      </c>
      <c r="U628">
        <v>110</v>
      </c>
      <c r="V628" t="b">
        <v>1</v>
      </c>
      <c r="W628" t="s">
        <v>51</v>
      </c>
      <c r="X628" t="s">
        <v>51</v>
      </c>
      <c r="Z628" t="b">
        <v>1</v>
      </c>
      <c r="AA628" t="s">
        <v>24</v>
      </c>
      <c r="AB628" t="b">
        <v>0</v>
      </c>
      <c r="AD628" s="2"/>
    </row>
    <row r="629" spans="1:30" x14ac:dyDescent="0.25">
      <c r="A629">
        <v>628</v>
      </c>
      <c r="B629" t="s">
        <v>25</v>
      </c>
      <c r="C629" s="3">
        <v>31085</v>
      </c>
      <c r="D629" s="2">
        <f ca="1">DATEDIF(gym_membership[[#This Row],[birthday]],TODAY(),"y")</f>
        <v>41</v>
      </c>
      <c r="E629">
        <v>39</v>
      </c>
      <c r="F629" t="s">
        <v>22</v>
      </c>
      <c r="G629">
        <v>2</v>
      </c>
      <c r="H629" t="s">
        <v>140</v>
      </c>
      <c r="I629" t="s">
        <v>26</v>
      </c>
      <c r="J629" t="s">
        <v>94</v>
      </c>
      <c r="N629" t="b">
        <v>0</v>
      </c>
      <c r="O629" t="s">
        <v>21</v>
      </c>
      <c r="S629" s="1">
        <v>0.70347222222222228</v>
      </c>
      <c r="T629" s="1">
        <v>0.75555555555555554</v>
      </c>
      <c r="U629">
        <v>75</v>
      </c>
      <c r="V629" t="b">
        <v>0</v>
      </c>
      <c r="W629" t="s">
        <v>21</v>
      </c>
      <c r="Z629" t="b">
        <v>1</v>
      </c>
      <c r="AA629" t="s">
        <v>29</v>
      </c>
      <c r="AB629" t="b">
        <v>0</v>
      </c>
      <c r="AD629" s="2"/>
    </row>
    <row r="630" spans="1:30" x14ac:dyDescent="0.25">
      <c r="A630">
        <v>629</v>
      </c>
      <c r="B630" t="s">
        <v>25</v>
      </c>
      <c r="C630" s="3">
        <v>39302</v>
      </c>
      <c r="D630" s="2">
        <f ca="1">DATEDIF(gym_membership[[#This Row],[birthday]],TODAY(),"y")</f>
        <v>19</v>
      </c>
      <c r="E630">
        <v>17</v>
      </c>
      <c r="F630" t="s">
        <v>22</v>
      </c>
      <c r="G630">
        <v>3</v>
      </c>
      <c r="H630" t="s">
        <v>56</v>
      </c>
      <c r="I630" t="s">
        <v>26</v>
      </c>
      <c r="J630" t="s">
        <v>95</v>
      </c>
      <c r="K630" t="s">
        <v>57</v>
      </c>
      <c r="N630" t="b">
        <v>0</v>
      </c>
      <c r="O630" t="s">
        <v>21</v>
      </c>
      <c r="S630" s="1">
        <v>0.4597222222222222</v>
      </c>
      <c r="T630" s="1">
        <v>0.51666666666666672</v>
      </c>
      <c r="U630">
        <v>82</v>
      </c>
      <c r="V630" t="b">
        <v>0</v>
      </c>
      <c r="W630" t="s">
        <v>21</v>
      </c>
      <c r="Z630" t="b">
        <v>1</v>
      </c>
      <c r="AA630" t="s">
        <v>24</v>
      </c>
      <c r="AB630" t="b">
        <v>1</v>
      </c>
      <c r="AD630" s="2"/>
    </row>
    <row r="631" spans="1:30" x14ac:dyDescent="0.25">
      <c r="A631">
        <v>630</v>
      </c>
      <c r="B631" t="s">
        <v>25</v>
      </c>
      <c r="C631" s="3">
        <v>37827</v>
      </c>
      <c r="D631" s="2">
        <f ca="1">DATEDIF(gym_membership[[#This Row],[birthday]],TODAY(),"y")</f>
        <v>23</v>
      </c>
      <c r="E631">
        <v>21</v>
      </c>
      <c r="F631" t="s">
        <v>22</v>
      </c>
      <c r="G631">
        <v>5</v>
      </c>
      <c r="H631" t="s">
        <v>131</v>
      </c>
      <c r="I631" t="s">
        <v>44</v>
      </c>
      <c r="J631" t="s">
        <v>34</v>
      </c>
      <c r="K631" t="s">
        <v>26</v>
      </c>
      <c r="L631" t="s">
        <v>94</v>
      </c>
      <c r="M631" t="s">
        <v>57</v>
      </c>
      <c r="N631" t="b">
        <v>0</v>
      </c>
      <c r="O631" t="s">
        <v>21</v>
      </c>
      <c r="S631" s="1">
        <v>0.60347222222222219</v>
      </c>
      <c r="T631" s="1">
        <v>0.66736111111111107</v>
      </c>
      <c r="U631">
        <v>92</v>
      </c>
      <c r="V631" t="b">
        <v>1</v>
      </c>
      <c r="W631" t="s">
        <v>52</v>
      </c>
      <c r="X631" t="s">
        <v>59</v>
      </c>
      <c r="Y631" t="s">
        <v>51</v>
      </c>
      <c r="Z631" t="b">
        <v>1</v>
      </c>
      <c r="AA631" t="s">
        <v>24</v>
      </c>
      <c r="AB631" t="b">
        <v>1</v>
      </c>
      <c r="AD631" s="2"/>
    </row>
    <row r="632" spans="1:30" x14ac:dyDescent="0.25">
      <c r="A632">
        <v>631</v>
      </c>
      <c r="B632" t="s">
        <v>17</v>
      </c>
      <c r="C632" s="3">
        <v>35129</v>
      </c>
      <c r="D632" s="2">
        <f ca="1">DATEDIF(gym_membership[[#This Row],[birthday]],TODAY(),"y")</f>
        <v>30</v>
      </c>
      <c r="E632">
        <v>28</v>
      </c>
      <c r="F632" t="s">
        <v>22</v>
      </c>
      <c r="G632">
        <v>3</v>
      </c>
      <c r="H632" t="s">
        <v>35</v>
      </c>
      <c r="I632" t="s">
        <v>26</v>
      </c>
      <c r="J632" t="s">
        <v>95</v>
      </c>
      <c r="K632" t="s">
        <v>77</v>
      </c>
      <c r="N632" t="b">
        <v>0</v>
      </c>
      <c r="O632" t="s">
        <v>21</v>
      </c>
      <c r="S632" s="1">
        <v>0.36805555555555558</v>
      </c>
      <c r="T632" s="1">
        <v>0.47222222222222221</v>
      </c>
      <c r="U632">
        <v>150</v>
      </c>
      <c r="V632" t="b">
        <v>0</v>
      </c>
      <c r="W632" t="s">
        <v>21</v>
      </c>
      <c r="Z632" t="b">
        <v>1</v>
      </c>
      <c r="AA632" t="s">
        <v>45</v>
      </c>
      <c r="AB632" t="b">
        <v>0</v>
      </c>
      <c r="AD632" s="2"/>
    </row>
    <row r="633" spans="1:30" x14ac:dyDescent="0.25">
      <c r="A633">
        <v>632</v>
      </c>
      <c r="B633" t="s">
        <v>25</v>
      </c>
      <c r="C633" s="3">
        <v>31863</v>
      </c>
      <c r="D633" s="2">
        <f ca="1">DATEDIF(gym_membership[[#This Row],[birthday]],TODAY(),"y")</f>
        <v>39</v>
      </c>
      <c r="E633">
        <v>37</v>
      </c>
      <c r="F633" t="s">
        <v>18</v>
      </c>
      <c r="G633">
        <v>1</v>
      </c>
      <c r="H633" t="s">
        <v>94</v>
      </c>
      <c r="I633" t="s">
        <v>94</v>
      </c>
      <c r="N633" t="b">
        <v>1</v>
      </c>
      <c r="O633" t="s">
        <v>353</v>
      </c>
      <c r="P633" t="s">
        <v>72</v>
      </c>
      <c r="Q633" t="s">
        <v>91</v>
      </c>
      <c r="S633" s="1">
        <v>0.51111111111111107</v>
      </c>
      <c r="T633" s="1">
        <v>0.57013888888888886</v>
      </c>
      <c r="U633">
        <v>85</v>
      </c>
      <c r="V633" t="b">
        <v>0</v>
      </c>
      <c r="W633" t="s">
        <v>21</v>
      </c>
      <c r="Z633" t="b">
        <v>0</v>
      </c>
      <c r="AA633" t="s">
        <v>456</v>
      </c>
      <c r="AB633" t="b">
        <v>1</v>
      </c>
      <c r="AD633" s="2"/>
    </row>
    <row r="634" spans="1:30" x14ac:dyDescent="0.25">
      <c r="A634">
        <v>633</v>
      </c>
      <c r="B634" t="s">
        <v>17</v>
      </c>
      <c r="C634" s="3">
        <v>35716</v>
      </c>
      <c r="D634" s="2">
        <f ca="1">DATEDIF(gym_membership[[#This Row],[birthday]],TODAY(),"y")</f>
        <v>28</v>
      </c>
      <c r="E634">
        <v>27</v>
      </c>
      <c r="F634" t="s">
        <v>18</v>
      </c>
      <c r="G634">
        <v>5</v>
      </c>
      <c r="H634" t="s">
        <v>330</v>
      </c>
      <c r="I634" t="s">
        <v>44</v>
      </c>
      <c r="J634" t="s">
        <v>34</v>
      </c>
      <c r="K634" t="s">
        <v>26</v>
      </c>
      <c r="L634" t="s">
        <v>57</v>
      </c>
      <c r="M634" t="s">
        <v>77</v>
      </c>
      <c r="N634" t="b">
        <v>1</v>
      </c>
      <c r="O634" t="s">
        <v>128</v>
      </c>
      <c r="P634" t="s">
        <v>128</v>
      </c>
      <c r="S634" s="1">
        <v>0.61250000000000004</v>
      </c>
      <c r="T634" s="1">
        <v>0.66180555555555554</v>
      </c>
      <c r="U634">
        <v>71</v>
      </c>
      <c r="V634" t="b">
        <v>0</v>
      </c>
      <c r="W634" t="s">
        <v>21</v>
      </c>
      <c r="Z634" t="b">
        <v>0</v>
      </c>
      <c r="AA634" t="s">
        <v>456</v>
      </c>
      <c r="AB634" t="b">
        <v>0</v>
      </c>
      <c r="AD634" s="2"/>
    </row>
    <row r="635" spans="1:30" x14ac:dyDescent="0.25">
      <c r="A635">
        <v>634</v>
      </c>
      <c r="B635" t="s">
        <v>17</v>
      </c>
      <c r="C635" s="3">
        <v>36516</v>
      </c>
      <c r="D635" s="2">
        <f ca="1">DATEDIF(gym_membership[[#This Row],[birthday]],TODAY(),"y")</f>
        <v>26</v>
      </c>
      <c r="E635">
        <v>24</v>
      </c>
      <c r="F635" t="s">
        <v>18</v>
      </c>
      <c r="G635">
        <v>1</v>
      </c>
      <c r="H635" t="s">
        <v>26</v>
      </c>
      <c r="I635" t="s">
        <v>26</v>
      </c>
      <c r="N635" t="b">
        <v>0</v>
      </c>
      <c r="O635" t="s">
        <v>21</v>
      </c>
      <c r="S635" s="1">
        <v>0.70208333333333328</v>
      </c>
      <c r="T635" s="1">
        <v>0.77152777777777781</v>
      </c>
      <c r="U635">
        <v>100</v>
      </c>
      <c r="V635" t="b">
        <v>0</v>
      </c>
      <c r="W635" t="s">
        <v>21</v>
      </c>
      <c r="Z635" t="b">
        <v>1</v>
      </c>
      <c r="AA635" t="s">
        <v>29</v>
      </c>
      <c r="AB635" t="b">
        <v>1</v>
      </c>
      <c r="AD635" s="2"/>
    </row>
    <row r="636" spans="1:30" x14ac:dyDescent="0.25">
      <c r="A636">
        <v>635</v>
      </c>
      <c r="B636" t="s">
        <v>17</v>
      </c>
      <c r="C636" s="3">
        <v>38689</v>
      </c>
      <c r="D636" s="2">
        <f ca="1">DATEDIF(gym_membership[[#This Row],[birthday]],TODAY(),"y")</f>
        <v>20</v>
      </c>
      <c r="E636">
        <v>18</v>
      </c>
      <c r="F636" t="s">
        <v>18</v>
      </c>
      <c r="G636">
        <v>1</v>
      </c>
      <c r="H636" t="s">
        <v>44</v>
      </c>
      <c r="I636" t="s">
        <v>44</v>
      </c>
      <c r="N636" t="b">
        <v>0</v>
      </c>
      <c r="O636" t="s">
        <v>21</v>
      </c>
      <c r="S636" s="1">
        <v>0.3840277777777778</v>
      </c>
      <c r="T636" s="1">
        <v>0.48819444444444443</v>
      </c>
      <c r="U636">
        <v>150</v>
      </c>
      <c r="V636" t="b">
        <v>1</v>
      </c>
      <c r="W636" t="s">
        <v>65</v>
      </c>
      <c r="X636" t="s">
        <v>65</v>
      </c>
      <c r="Z636" t="b">
        <v>1</v>
      </c>
      <c r="AA636" t="s">
        <v>45</v>
      </c>
      <c r="AB636" t="b">
        <v>1</v>
      </c>
      <c r="AD636" s="2"/>
    </row>
    <row r="637" spans="1:30" x14ac:dyDescent="0.25">
      <c r="A637">
        <v>636</v>
      </c>
      <c r="B637" t="s">
        <v>17</v>
      </c>
      <c r="C637" s="3">
        <v>35802</v>
      </c>
      <c r="D637" s="2">
        <f ca="1">DATEDIF(gym_membership[[#This Row],[birthday]],TODAY(),"y")</f>
        <v>28</v>
      </c>
      <c r="E637">
        <v>26</v>
      </c>
      <c r="F637" t="s">
        <v>22</v>
      </c>
      <c r="G637">
        <v>3</v>
      </c>
      <c r="H637" t="s">
        <v>101</v>
      </c>
      <c r="I637" t="s">
        <v>94</v>
      </c>
      <c r="J637" t="s">
        <v>57</v>
      </c>
      <c r="K637" t="s">
        <v>77</v>
      </c>
      <c r="N637" t="b">
        <v>1</v>
      </c>
      <c r="O637" t="s">
        <v>215</v>
      </c>
      <c r="P637" t="s">
        <v>27</v>
      </c>
      <c r="Q637" t="s">
        <v>41</v>
      </c>
      <c r="S637" s="1">
        <v>0.55833333333333335</v>
      </c>
      <c r="T637" s="1">
        <v>0.66180555555555554</v>
      </c>
      <c r="U637">
        <v>149</v>
      </c>
      <c r="V637" t="b">
        <v>1</v>
      </c>
      <c r="W637" t="s">
        <v>153</v>
      </c>
      <c r="X637" t="s">
        <v>31</v>
      </c>
      <c r="Y637" t="s">
        <v>76</v>
      </c>
      <c r="Z637" t="b">
        <v>1</v>
      </c>
      <c r="AA637" t="s">
        <v>29</v>
      </c>
      <c r="AB637" t="b">
        <v>0</v>
      </c>
      <c r="AD637" s="2"/>
    </row>
    <row r="638" spans="1:30" x14ac:dyDescent="0.25">
      <c r="A638">
        <v>637</v>
      </c>
      <c r="B638" t="s">
        <v>25</v>
      </c>
      <c r="C638" s="3">
        <v>37057</v>
      </c>
      <c r="D638" s="2">
        <f ca="1">DATEDIF(gym_membership[[#This Row],[birthday]],TODAY(),"y")</f>
        <v>25</v>
      </c>
      <c r="E638">
        <v>23</v>
      </c>
      <c r="F638" t="s">
        <v>22</v>
      </c>
      <c r="G638">
        <v>1</v>
      </c>
      <c r="H638" t="s">
        <v>57</v>
      </c>
      <c r="I638" t="s">
        <v>57</v>
      </c>
      <c r="N638" t="b">
        <v>0</v>
      </c>
      <c r="O638" t="s">
        <v>21</v>
      </c>
      <c r="S638" s="1">
        <v>0.41736111111111113</v>
      </c>
      <c r="T638" s="1">
        <v>0.51944444444444449</v>
      </c>
      <c r="U638">
        <v>147</v>
      </c>
      <c r="V638" t="b">
        <v>0</v>
      </c>
      <c r="W638" t="s">
        <v>21</v>
      </c>
      <c r="Z638" t="b">
        <v>0</v>
      </c>
      <c r="AA638" t="s">
        <v>456</v>
      </c>
      <c r="AB638" t="b">
        <v>0</v>
      </c>
      <c r="AD638" s="2"/>
    </row>
    <row r="639" spans="1:30" x14ac:dyDescent="0.25">
      <c r="A639">
        <v>638</v>
      </c>
      <c r="B639" t="s">
        <v>17</v>
      </c>
      <c r="C639" s="3">
        <v>38658</v>
      </c>
      <c r="D639" s="2">
        <f ca="1">DATEDIF(gym_membership[[#This Row],[birthday]],TODAY(),"y")</f>
        <v>20</v>
      </c>
      <c r="E639">
        <v>18</v>
      </c>
      <c r="F639" t="s">
        <v>18</v>
      </c>
      <c r="G639">
        <v>2</v>
      </c>
      <c r="H639" t="s">
        <v>86</v>
      </c>
      <c r="I639" t="s">
        <v>34</v>
      </c>
      <c r="J639" t="s">
        <v>26</v>
      </c>
      <c r="N639" t="b">
        <v>0</v>
      </c>
      <c r="O639" t="s">
        <v>21</v>
      </c>
      <c r="S639" s="1">
        <v>0.82291666666666663</v>
      </c>
      <c r="T639" s="1">
        <v>0.94722222222222219</v>
      </c>
      <c r="U639">
        <v>179</v>
      </c>
      <c r="V639" t="b">
        <v>0</v>
      </c>
      <c r="W639" t="s">
        <v>21</v>
      </c>
      <c r="Z639" t="b">
        <v>1</v>
      </c>
      <c r="AA639" t="s">
        <v>24</v>
      </c>
      <c r="AB639" t="b">
        <v>0</v>
      </c>
      <c r="AD639" s="2"/>
    </row>
    <row r="640" spans="1:30" x14ac:dyDescent="0.25">
      <c r="A640">
        <v>639</v>
      </c>
      <c r="B640" t="s">
        <v>17</v>
      </c>
      <c r="C640" s="3">
        <v>36440</v>
      </c>
      <c r="D640" s="2">
        <f ca="1">DATEDIF(gym_membership[[#This Row],[birthday]],TODAY(),"y")</f>
        <v>26</v>
      </c>
      <c r="E640">
        <v>25</v>
      </c>
      <c r="F640" t="s">
        <v>18</v>
      </c>
      <c r="G640">
        <v>4</v>
      </c>
      <c r="H640" t="s">
        <v>127</v>
      </c>
      <c r="I640" t="s">
        <v>44</v>
      </c>
      <c r="J640" t="s">
        <v>95</v>
      </c>
      <c r="K640" t="s">
        <v>57</v>
      </c>
      <c r="L640" t="s">
        <v>77</v>
      </c>
      <c r="N640" t="b">
        <v>1</v>
      </c>
      <c r="O640" t="s">
        <v>354</v>
      </c>
      <c r="P640" t="s">
        <v>120</v>
      </c>
      <c r="Q640" t="s">
        <v>41</v>
      </c>
      <c r="R640" t="s">
        <v>67</v>
      </c>
      <c r="S640" s="1">
        <v>0.3923611111111111</v>
      </c>
      <c r="T640" s="1">
        <v>0.44166666666666665</v>
      </c>
      <c r="U640">
        <v>71</v>
      </c>
      <c r="V640" t="b">
        <v>0</v>
      </c>
      <c r="W640" t="s">
        <v>21</v>
      </c>
      <c r="Z640" t="b">
        <v>0</v>
      </c>
      <c r="AA640" t="s">
        <v>456</v>
      </c>
      <c r="AB640" t="b">
        <v>1</v>
      </c>
      <c r="AD640" s="2"/>
    </row>
    <row r="641" spans="1:30" x14ac:dyDescent="0.25">
      <c r="A641">
        <v>640</v>
      </c>
      <c r="B641" t="s">
        <v>17</v>
      </c>
      <c r="C641" s="3">
        <v>39178</v>
      </c>
      <c r="D641" s="2">
        <f ca="1">DATEDIF(gym_membership[[#This Row],[birthday]],TODAY(),"y")</f>
        <v>19</v>
      </c>
      <c r="E641">
        <v>17</v>
      </c>
      <c r="F641" t="s">
        <v>18</v>
      </c>
      <c r="G641">
        <v>5</v>
      </c>
      <c r="H641" t="s">
        <v>301</v>
      </c>
      <c r="I641" t="s">
        <v>34</v>
      </c>
      <c r="J641" t="s">
        <v>26</v>
      </c>
      <c r="K641" t="s">
        <v>94</v>
      </c>
      <c r="L641" t="s">
        <v>57</v>
      </c>
      <c r="M641" t="s">
        <v>77</v>
      </c>
      <c r="N641" t="b">
        <v>1</v>
      </c>
      <c r="O641" t="s">
        <v>355</v>
      </c>
      <c r="P641" t="s">
        <v>96</v>
      </c>
      <c r="Q641" t="s">
        <v>120</v>
      </c>
      <c r="S641" s="1">
        <v>0.41666666666666669</v>
      </c>
      <c r="T641" s="1">
        <v>0.49652777777777779</v>
      </c>
      <c r="U641">
        <v>115</v>
      </c>
      <c r="V641" t="b">
        <v>1</v>
      </c>
      <c r="W641" t="s">
        <v>59</v>
      </c>
      <c r="X641" t="s">
        <v>59</v>
      </c>
      <c r="Z641" t="b">
        <v>0</v>
      </c>
      <c r="AA641" t="s">
        <v>456</v>
      </c>
      <c r="AB641" t="b">
        <v>0</v>
      </c>
      <c r="AD641" s="2"/>
    </row>
    <row r="642" spans="1:30" x14ac:dyDescent="0.25">
      <c r="A642">
        <v>641</v>
      </c>
      <c r="B642" t="s">
        <v>17</v>
      </c>
      <c r="C642" s="3">
        <v>36389</v>
      </c>
      <c r="D642" s="2">
        <f ca="1">DATEDIF(gym_membership[[#This Row],[birthday]],TODAY(),"y")</f>
        <v>27</v>
      </c>
      <c r="E642">
        <v>25</v>
      </c>
      <c r="F642" t="s">
        <v>18</v>
      </c>
      <c r="G642">
        <v>1</v>
      </c>
      <c r="H642" t="s">
        <v>57</v>
      </c>
      <c r="I642" t="s">
        <v>57</v>
      </c>
      <c r="N642" t="b">
        <v>0</v>
      </c>
      <c r="O642" t="s">
        <v>21</v>
      </c>
      <c r="S642" s="1">
        <v>0.35902777777777778</v>
      </c>
      <c r="T642" s="1">
        <v>0.45277777777777778</v>
      </c>
      <c r="U642">
        <v>135</v>
      </c>
      <c r="V642" t="b">
        <v>1</v>
      </c>
      <c r="W642" t="s">
        <v>167</v>
      </c>
      <c r="X642" t="s">
        <v>65</v>
      </c>
      <c r="Y642" t="s">
        <v>31</v>
      </c>
      <c r="Z642" t="b">
        <v>1</v>
      </c>
      <c r="AA642" t="s">
        <v>24</v>
      </c>
      <c r="AB642" t="b">
        <v>0</v>
      </c>
      <c r="AD642" s="2"/>
    </row>
    <row r="643" spans="1:30" x14ac:dyDescent="0.25">
      <c r="A643">
        <v>642</v>
      </c>
      <c r="B643" t="s">
        <v>17</v>
      </c>
      <c r="C643" s="3">
        <v>28070</v>
      </c>
      <c r="D643" s="2">
        <f ca="1">DATEDIF(gym_membership[[#This Row],[birthday]],TODAY(),"y")</f>
        <v>49</v>
      </c>
      <c r="E643">
        <v>47</v>
      </c>
      <c r="F643" t="s">
        <v>22</v>
      </c>
      <c r="G643">
        <v>2</v>
      </c>
      <c r="H643" t="s">
        <v>62</v>
      </c>
      <c r="I643" t="s">
        <v>44</v>
      </c>
      <c r="J643" t="s">
        <v>34</v>
      </c>
      <c r="N643" t="b">
        <v>1</v>
      </c>
      <c r="O643" t="s">
        <v>356</v>
      </c>
      <c r="P643" t="s">
        <v>103</v>
      </c>
      <c r="Q643" t="s">
        <v>100</v>
      </c>
      <c r="R643" t="s">
        <v>27</v>
      </c>
      <c r="S643" s="1">
        <v>0.52916666666666667</v>
      </c>
      <c r="T643" s="1">
        <v>0.56736111111111109</v>
      </c>
      <c r="U643">
        <v>55</v>
      </c>
      <c r="V643" t="b">
        <v>1</v>
      </c>
      <c r="W643" t="s">
        <v>217</v>
      </c>
      <c r="X643" t="s">
        <v>76</v>
      </c>
      <c r="Y643" t="s">
        <v>59</v>
      </c>
      <c r="Z643" t="b">
        <v>1</v>
      </c>
      <c r="AA643" t="s">
        <v>29</v>
      </c>
      <c r="AB643" t="b">
        <v>1</v>
      </c>
      <c r="AD643" s="2"/>
    </row>
    <row r="644" spans="1:30" x14ac:dyDescent="0.25">
      <c r="A644">
        <v>643</v>
      </c>
      <c r="B644" t="s">
        <v>25</v>
      </c>
      <c r="C644" s="3">
        <v>36366</v>
      </c>
      <c r="D644" s="2">
        <f ca="1">DATEDIF(gym_membership[[#This Row],[birthday]],TODAY(),"y")</f>
        <v>27</v>
      </c>
      <c r="E644">
        <v>25</v>
      </c>
      <c r="F644" t="s">
        <v>18</v>
      </c>
      <c r="G644">
        <v>2</v>
      </c>
      <c r="H644" t="s">
        <v>32</v>
      </c>
      <c r="I644" t="s">
        <v>95</v>
      </c>
      <c r="J644" t="s">
        <v>77</v>
      </c>
      <c r="N644" t="b">
        <v>1</v>
      </c>
      <c r="O644" t="s">
        <v>157</v>
      </c>
      <c r="P644" t="s">
        <v>67</v>
      </c>
      <c r="Q644" t="s">
        <v>91</v>
      </c>
      <c r="S644" s="1">
        <v>0.85486111111111107</v>
      </c>
      <c r="T644" s="1">
        <v>0.88055555555555554</v>
      </c>
      <c r="U644">
        <v>37</v>
      </c>
      <c r="V644" t="b">
        <v>0</v>
      </c>
      <c r="W644" t="s">
        <v>21</v>
      </c>
      <c r="Z644" t="b">
        <v>1</v>
      </c>
      <c r="AA644" t="s">
        <v>43</v>
      </c>
      <c r="AB644" t="b">
        <v>1</v>
      </c>
      <c r="AD644" s="2"/>
    </row>
    <row r="645" spans="1:30" x14ac:dyDescent="0.25">
      <c r="A645">
        <v>644</v>
      </c>
      <c r="B645" t="s">
        <v>17</v>
      </c>
      <c r="C645" s="3">
        <v>40375</v>
      </c>
      <c r="D645" s="2">
        <f ca="1">DATEDIF(gym_membership[[#This Row],[birthday]],TODAY(),"y")</f>
        <v>16</v>
      </c>
      <c r="E645">
        <v>14</v>
      </c>
      <c r="F645" t="s">
        <v>18</v>
      </c>
      <c r="G645">
        <v>5</v>
      </c>
      <c r="H645" t="s">
        <v>82</v>
      </c>
      <c r="I645" t="s">
        <v>44</v>
      </c>
      <c r="J645" t="s">
        <v>34</v>
      </c>
      <c r="K645" t="s">
        <v>26</v>
      </c>
      <c r="L645" t="s">
        <v>94</v>
      </c>
      <c r="M645" t="s">
        <v>77</v>
      </c>
      <c r="N645" t="b">
        <v>1</v>
      </c>
      <c r="O645" t="s">
        <v>314</v>
      </c>
      <c r="P645" t="s">
        <v>128</v>
      </c>
      <c r="Q645" t="s">
        <v>91</v>
      </c>
      <c r="S645" s="1">
        <v>0.53749999999999998</v>
      </c>
      <c r="T645" s="1">
        <v>0.63194444444444442</v>
      </c>
      <c r="U645">
        <v>136</v>
      </c>
      <c r="V645" t="b">
        <v>1</v>
      </c>
      <c r="W645" t="s">
        <v>39</v>
      </c>
      <c r="X645" t="s">
        <v>39</v>
      </c>
      <c r="Z645" t="b">
        <v>1</v>
      </c>
      <c r="AA645" t="s">
        <v>24</v>
      </c>
      <c r="AB645" t="b">
        <v>1</v>
      </c>
      <c r="AD645" s="2"/>
    </row>
    <row r="646" spans="1:30" x14ac:dyDescent="0.25">
      <c r="A646">
        <v>645</v>
      </c>
      <c r="B646" t="s">
        <v>25</v>
      </c>
      <c r="C646" s="3">
        <v>40453</v>
      </c>
      <c r="D646" s="2">
        <f ca="1">DATEDIF(gym_membership[[#This Row],[birthday]],TODAY(),"y")</f>
        <v>15</v>
      </c>
      <c r="E646">
        <v>14</v>
      </c>
      <c r="F646" t="s">
        <v>18</v>
      </c>
      <c r="G646">
        <v>3</v>
      </c>
      <c r="H646" t="s">
        <v>210</v>
      </c>
      <c r="I646" t="s">
        <v>44</v>
      </c>
      <c r="J646" t="s">
        <v>34</v>
      </c>
      <c r="K646" t="s">
        <v>77</v>
      </c>
      <c r="N646" t="b">
        <v>1</v>
      </c>
      <c r="O646" t="s">
        <v>96</v>
      </c>
      <c r="P646" t="s">
        <v>96</v>
      </c>
      <c r="S646" s="1">
        <v>0.72430555555555554</v>
      </c>
      <c r="T646" s="1">
        <v>0.76527777777777772</v>
      </c>
      <c r="U646">
        <v>59</v>
      </c>
      <c r="V646" t="b">
        <v>1</v>
      </c>
      <c r="W646" t="s">
        <v>65</v>
      </c>
      <c r="X646" t="s">
        <v>65</v>
      </c>
      <c r="Z646" t="b">
        <v>0</v>
      </c>
      <c r="AA646" t="s">
        <v>456</v>
      </c>
      <c r="AB646" t="b">
        <v>1</v>
      </c>
      <c r="AD646" s="2"/>
    </row>
    <row r="647" spans="1:30" x14ac:dyDescent="0.25">
      <c r="A647">
        <v>646</v>
      </c>
      <c r="B647" t="s">
        <v>25</v>
      </c>
      <c r="C647" s="3">
        <v>27622</v>
      </c>
      <c r="D647" s="2">
        <f ca="1">DATEDIF(gym_membership[[#This Row],[birthday]],TODAY(),"y")</f>
        <v>51</v>
      </c>
      <c r="E647">
        <v>49</v>
      </c>
      <c r="F647" t="s">
        <v>18</v>
      </c>
      <c r="G647">
        <v>3</v>
      </c>
      <c r="H647" t="s">
        <v>123</v>
      </c>
      <c r="I647" t="s">
        <v>44</v>
      </c>
      <c r="J647" t="s">
        <v>94</v>
      </c>
      <c r="K647" t="s">
        <v>95</v>
      </c>
      <c r="N647" t="b">
        <v>0</v>
      </c>
      <c r="O647" t="s">
        <v>21</v>
      </c>
      <c r="S647" s="1">
        <v>0.71944444444444444</v>
      </c>
      <c r="T647" s="1">
        <v>0.82777777777777772</v>
      </c>
      <c r="U647">
        <v>156</v>
      </c>
      <c r="V647" t="b">
        <v>1</v>
      </c>
      <c r="W647" t="s">
        <v>31</v>
      </c>
      <c r="X647" t="s">
        <v>31</v>
      </c>
      <c r="Z647" t="b">
        <v>0</v>
      </c>
      <c r="AA647" t="s">
        <v>456</v>
      </c>
      <c r="AB647" t="b">
        <v>0</v>
      </c>
      <c r="AD647" s="2"/>
    </row>
    <row r="648" spans="1:30" x14ac:dyDescent="0.25">
      <c r="A648">
        <v>647</v>
      </c>
      <c r="B648" t="s">
        <v>25</v>
      </c>
      <c r="C648" s="3">
        <v>36733</v>
      </c>
      <c r="D648" s="2">
        <f ca="1">DATEDIF(gym_membership[[#This Row],[birthday]],TODAY(),"y")</f>
        <v>26</v>
      </c>
      <c r="E648">
        <v>24</v>
      </c>
      <c r="F648" t="s">
        <v>22</v>
      </c>
      <c r="G648">
        <v>2</v>
      </c>
      <c r="H648" t="s">
        <v>126</v>
      </c>
      <c r="I648" t="s">
        <v>94</v>
      </c>
      <c r="J648" t="s">
        <v>57</v>
      </c>
      <c r="N648" t="b">
        <v>1</v>
      </c>
      <c r="O648" t="s">
        <v>103</v>
      </c>
      <c r="P648" t="s">
        <v>103</v>
      </c>
      <c r="S648" s="1">
        <v>0.79027777777777775</v>
      </c>
      <c r="T648" s="1">
        <v>0.81944444444444442</v>
      </c>
      <c r="U648">
        <v>42</v>
      </c>
      <c r="V648" t="b">
        <v>1</v>
      </c>
      <c r="W648" t="s">
        <v>125</v>
      </c>
      <c r="X648" t="s">
        <v>65</v>
      </c>
      <c r="Y648" t="s">
        <v>76</v>
      </c>
      <c r="Z648" t="b">
        <v>0</v>
      </c>
      <c r="AA648" t="s">
        <v>456</v>
      </c>
      <c r="AB648" t="b">
        <v>1</v>
      </c>
      <c r="AD648" s="2"/>
    </row>
    <row r="649" spans="1:30" x14ac:dyDescent="0.25">
      <c r="A649">
        <v>648</v>
      </c>
      <c r="B649" t="s">
        <v>17</v>
      </c>
      <c r="C649" s="3">
        <v>36060</v>
      </c>
      <c r="D649" s="2">
        <f ca="1">DATEDIF(gym_membership[[#This Row],[birthday]],TODAY(),"y")</f>
        <v>27</v>
      </c>
      <c r="E649">
        <v>26</v>
      </c>
      <c r="F649" t="s">
        <v>22</v>
      </c>
      <c r="G649">
        <v>1</v>
      </c>
      <c r="H649" t="s">
        <v>26</v>
      </c>
      <c r="I649" t="s">
        <v>26</v>
      </c>
      <c r="N649" t="b">
        <v>1</v>
      </c>
      <c r="O649" t="s">
        <v>182</v>
      </c>
      <c r="P649" t="s">
        <v>120</v>
      </c>
      <c r="Q649" t="s">
        <v>41</v>
      </c>
      <c r="S649" s="1">
        <v>0.53055555555555556</v>
      </c>
      <c r="T649" s="1">
        <v>0.56944444444444442</v>
      </c>
      <c r="U649">
        <v>56</v>
      </c>
      <c r="V649" t="b">
        <v>0</v>
      </c>
      <c r="W649" t="s">
        <v>21</v>
      </c>
      <c r="Z649" t="b">
        <v>0</v>
      </c>
      <c r="AA649" t="s">
        <v>456</v>
      </c>
      <c r="AB649" t="b">
        <v>0</v>
      </c>
      <c r="AD649" s="2"/>
    </row>
    <row r="650" spans="1:30" x14ac:dyDescent="0.25">
      <c r="A650">
        <v>649</v>
      </c>
      <c r="B650" t="s">
        <v>17</v>
      </c>
      <c r="C650" s="3">
        <v>37404</v>
      </c>
      <c r="D650" s="2">
        <f ca="1">DATEDIF(gym_membership[[#This Row],[birthday]],TODAY(),"y")</f>
        <v>24</v>
      </c>
      <c r="E650">
        <v>22</v>
      </c>
      <c r="F650" t="s">
        <v>22</v>
      </c>
      <c r="G650">
        <v>5</v>
      </c>
      <c r="H650" t="s">
        <v>211</v>
      </c>
      <c r="I650" t="s">
        <v>44</v>
      </c>
      <c r="J650" t="s">
        <v>34</v>
      </c>
      <c r="K650" t="s">
        <v>94</v>
      </c>
      <c r="L650" t="s">
        <v>57</v>
      </c>
      <c r="M650" t="s">
        <v>77</v>
      </c>
      <c r="N650" t="b">
        <v>0</v>
      </c>
      <c r="O650" t="s">
        <v>21</v>
      </c>
      <c r="S650" s="1">
        <v>0.57638888888888884</v>
      </c>
      <c r="T650" s="1">
        <v>0.65069444444444446</v>
      </c>
      <c r="U650">
        <v>107</v>
      </c>
      <c r="V650" t="b">
        <v>0</v>
      </c>
      <c r="W650" t="s">
        <v>21</v>
      </c>
      <c r="Z650" t="b">
        <v>0</v>
      </c>
      <c r="AA650" t="s">
        <v>456</v>
      </c>
      <c r="AB650" t="b">
        <v>0</v>
      </c>
      <c r="AD650" s="2"/>
    </row>
    <row r="651" spans="1:30" x14ac:dyDescent="0.25">
      <c r="A651">
        <v>650</v>
      </c>
      <c r="B651" t="s">
        <v>25</v>
      </c>
      <c r="C651" s="3">
        <v>41167</v>
      </c>
      <c r="D651" s="2">
        <f ca="1">DATEDIF(gym_membership[[#This Row],[birthday]],TODAY(),"y")</f>
        <v>13</v>
      </c>
      <c r="E651">
        <v>12</v>
      </c>
      <c r="F651" t="s">
        <v>18</v>
      </c>
      <c r="G651">
        <v>3</v>
      </c>
      <c r="H651" t="s">
        <v>210</v>
      </c>
      <c r="I651" t="s">
        <v>44</v>
      </c>
      <c r="J651" t="s">
        <v>34</v>
      </c>
      <c r="K651" t="s">
        <v>77</v>
      </c>
      <c r="N651" t="b">
        <v>1</v>
      </c>
      <c r="O651" t="s">
        <v>184</v>
      </c>
      <c r="P651" t="s">
        <v>120</v>
      </c>
      <c r="Q651" t="s">
        <v>67</v>
      </c>
      <c r="S651" s="1">
        <v>0.62083333333333335</v>
      </c>
      <c r="T651" s="1">
        <v>0.70277777777777772</v>
      </c>
      <c r="U651">
        <v>118</v>
      </c>
      <c r="V651" t="b">
        <v>0</v>
      </c>
      <c r="W651" t="s">
        <v>21</v>
      </c>
      <c r="Z651" t="b">
        <v>0</v>
      </c>
      <c r="AA651" t="s">
        <v>456</v>
      </c>
      <c r="AB651" t="b">
        <v>0</v>
      </c>
      <c r="AD651" s="2"/>
    </row>
    <row r="652" spans="1:30" x14ac:dyDescent="0.25">
      <c r="A652">
        <v>651</v>
      </c>
      <c r="B652" t="s">
        <v>25</v>
      </c>
      <c r="C652" s="3">
        <v>40434</v>
      </c>
      <c r="D652" s="2">
        <f ca="1">DATEDIF(gym_membership[[#This Row],[birthday]],TODAY(),"y")</f>
        <v>15</v>
      </c>
      <c r="E652">
        <v>14</v>
      </c>
      <c r="F652" t="s">
        <v>18</v>
      </c>
      <c r="G652">
        <v>4</v>
      </c>
      <c r="H652" t="s">
        <v>244</v>
      </c>
      <c r="I652" t="s">
        <v>34</v>
      </c>
      <c r="J652" t="s">
        <v>94</v>
      </c>
      <c r="K652" t="s">
        <v>95</v>
      </c>
      <c r="L652" t="s">
        <v>77</v>
      </c>
      <c r="N652" t="b">
        <v>0</v>
      </c>
      <c r="O652" t="s">
        <v>21</v>
      </c>
      <c r="S652" s="1">
        <v>0.85833333333333328</v>
      </c>
      <c r="T652" s="1">
        <v>0.93055555555555558</v>
      </c>
      <c r="U652">
        <v>104</v>
      </c>
      <c r="V652" t="b">
        <v>1</v>
      </c>
      <c r="W652" t="s">
        <v>31</v>
      </c>
      <c r="X652" t="s">
        <v>31</v>
      </c>
      <c r="Z652" t="b">
        <v>0</v>
      </c>
      <c r="AA652" t="s">
        <v>456</v>
      </c>
      <c r="AB652" t="b">
        <v>0</v>
      </c>
      <c r="AD652" s="2"/>
    </row>
    <row r="653" spans="1:30" x14ac:dyDescent="0.25">
      <c r="A653">
        <v>652</v>
      </c>
      <c r="B653" t="s">
        <v>25</v>
      </c>
      <c r="C653" s="3">
        <v>38951</v>
      </c>
      <c r="D653" s="2">
        <f ca="1">DATEDIF(gym_membership[[#This Row],[birthday]],TODAY(),"y")</f>
        <v>20</v>
      </c>
      <c r="E653">
        <v>18</v>
      </c>
      <c r="F653" t="s">
        <v>18</v>
      </c>
      <c r="G653">
        <v>3</v>
      </c>
      <c r="H653" t="s">
        <v>145</v>
      </c>
      <c r="I653" t="s">
        <v>34</v>
      </c>
      <c r="J653" t="s">
        <v>26</v>
      </c>
      <c r="K653" t="s">
        <v>94</v>
      </c>
      <c r="N653" t="b">
        <v>0</v>
      </c>
      <c r="O653" t="s">
        <v>21</v>
      </c>
      <c r="S653" s="1">
        <v>0.46250000000000002</v>
      </c>
      <c r="T653" s="1">
        <v>0.55902777777777779</v>
      </c>
      <c r="U653">
        <v>139</v>
      </c>
      <c r="V653" t="b">
        <v>0</v>
      </c>
      <c r="W653" t="s">
        <v>21</v>
      </c>
      <c r="Z653" t="b">
        <v>0</v>
      </c>
      <c r="AA653" t="s">
        <v>456</v>
      </c>
      <c r="AB653" t="b">
        <v>0</v>
      </c>
      <c r="AD653" s="2"/>
    </row>
    <row r="654" spans="1:30" x14ac:dyDescent="0.25">
      <c r="A654">
        <v>653</v>
      </c>
      <c r="B654" t="s">
        <v>25</v>
      </c>
      <c r="C654" s="3">
        <v>35728</v>
      </c>
      <c r="D654" s="2">
        <f ca="1">DATEDIF(gym_membership[[#This Row],[birthday]],TODAY(),"y")</f>
        <v>28</v>
      </c>
      <c r="E654">
        <v>26</v>
      </c>
      <c r="F654" t="s">
        <v>22</v>
      </c>
      <c r="G654">
        <v>3</v>
      </c>
      <c r="H654" t="s">
        <v>109</v>
      </c>
      <c r="I654" t="s">
        <v>34</v>
      </c>
      <c r="J654" t="s">
        <v>94</v>
      </c>
      <c r="K654" t="s">
        <v>95</v>
      </c>
      <c r="N654" t="b">
        <v>0</v>
      </c>
      <c r="O654" t="s">
        <v>21</v>
      </c>
      <c r="S654" s="1">
        <v>0.5493055555555556</v>
      </c>
      <c r="T654" s="1">
        <v>0.59791666666666665</v>
      </c>
      <c r="U654">
        <v>70</v>
      </c>
      <c r="V654" t="b">
        <v>0</v>
      </c>
      <c r="W654" t="s">
        <v>21</v>
      </c>
      <c r="Z654" t="b">
        <v>0</v>
      </c>
      <c r="AA654" t="s">
        <v>456</v>
      </c>
      <c r="AB654" t="b">
        <v>0</v>
      </c>
      <c r="AD654" s="2"/>
    </row>
    <row r="655" spans="1:30" x14ac:dyDescent="0.25">
      <c r="A655">
        <v>654</v>
      </c>
      <c r="B655" t="s">
        <v>25</v>
      </c>
      <c r="C655" s="3">
        <v>28491</v>
      </c>
      <c r="D655" s="2">
        <f ca="1">DATEDIF(gym_membership[[#This Row],[birthday]],TODAY(),"y")</f>
        <v>48</v>
      </c>
      <c r="E655">
        <v>46</v>
      </c>
      <c r="F655" t="s">
        <v>18</v>
      </c>
      <c r="G655">
        <v>1</v>
      </c>
      <c r="H655" t="s">
        <v>94</v>
      </c>
      <c r="I655" t="s">
        <v>94</v>
      </c>
      <c r="N655" t="b">
        <v>0</v>
      </c>
      <c r="O655" t="s">
        <v>21</v>
      </c>
      <c r="S655" s="1">
        <v>0.60972222222222228</v>
      </c>
      <c r="T655" s="1">
        <v>0.72291666666666665</v>
      </c>
      <c r="U655">
        <v>163</v>
      </c>
      <c r="V655" t="b">
        <v>1</v>
      </c>
      <c r="W655" t="s">
        <v>205</v>
      </c>
      <c r="X655" t="s">
        <v>59</v>
      </c>
      <c r="Y655" t="s">
        <v>31</v>
      </c>
      <c r="Z655" t="b">
        <v>0</v>
      </c>
      <c r="AA655" t="s">
        <v>456</v>
      </c>
      <c r="AB655" t="b">
        <v>1</v>
      </c>
      <c r="AD655" s="2"/>
    </row>
    <row r="656" spans="1:30" x14ac:dyDescent="0.25">
      <c r="A656">
        <v>655</v>
      </c>
      <c r="B656" t="s">
        <v>25</v>
      </c>
      <c r="C656" s="3">
        <v>35268</v>
      </c>
      <c r="D656" s="2">
        <f ca="1">DATEDIF(gym_membership[[#This Row],[birthday]],TODAY(),"y")</f>
        <v>30</v>
      </c>
      <c r="E656">
        <v>28</v>
      </c>
      <c r="F656" t="s">
        <v>22</v>
      </c>
      <c r="G656">
        <v>2</v>
      </c>
      <c r="H656" t="s">
        <v>62</v>
      </c>
      <c r="I656" t="s">
        <v>44</v>
      </c>
      <c r="J656" t="s">
        <v>34</v>
      </c>
      <c r="N656" t="b">
        <v>0</v>
      </c>
      <c r="O656" t="s">
        <v>21</v>
      </c>
      <c r="S656" s="1">
        <v>0.3888888888888889</v>
      </c>
      <c r="T656" s="1">
        <v>0.49791666666666667</v>
      </c>
      <c r="U656">
        <v>157</v>
      </c>
      <c r="V656" t="b">
        <v>0</v>
      </c>
      <c r="W656" t="s">
        <v>21</v>
      </c>
      <c r="Z656" t="b">
        <v>1</v>
      </c>
      <c r="AA656" t="s">
        <v>43</v>
      </c>
      <c r="AB656" t="b">
        <v>1</v>
      </c>
      <c r="AD656" s="2"/>
    </row>
    <row r="657" spans="1:30" x14ac:dyDescent="0.25">
      <c r="A657">
        <v>656</v>
      </c>
      <c r="B657" t="s">
        <v>25</v>
      </c>
      <c r="C657" s="3">
        <v>40810</v>
      </c>
      <c r="D657" s="2">
        <f ca="1">DATEDIF(gym_membership[[#This Row],[birthday]],TODAY(),"y")</f>
        <v>14</v>
      </c>
      <c r="E657">
        <v>13</v>
      </c>
      <c r="F657" t="s">
        <v>22</v>
      </c>
      <c r="G657">
        <v>5</v>
      </c>
      <c r="H657" t="s">
        <v>220</v>
      </c>
      <c r="I657" t="s">
        <v>44</v>
      </c>
      <c r="J657" t="s">
        <v>34</v>
      </c>
      <c r="K657" t="s">
        <v>26</v>
      </c>
      <c r="L657" t="s">
        <v>94</v>
      </c>
      <c r="M657" t="s">
        <v>95</v>
      </c>
      <c r="N657" t="b">
        <v>1</v>
      </c>
      <c r="O657" t="s">
        <v>357</v>
      </c>
      <c r="P657" t="s">
        <v>103</v>
      </c>
      <c r="Q657" t="s">
        <v>96</v>
      </c>
      <c r="R657" t="s">
        <v>67</v>
      </c>
      <c r="S657" s="1">
        <v>0.71736111111111112</v>
      </c>
      <c r="T657" s="1">
        <v>0.79166666666666663</v>
      </c>
      <c r="U657">
        <v>107</v>
      </c>
      <c r="V657" t="b">
        <v>0</v>
      </c>
      <c r="W657" t="s">
        <v>21</v>
      </c>
      <c r="Z657" t="b">
        <v>0</v>
      </c>
      <c r="AA657" t="s">
        <v>456</v>
      </c>
      <c r="AB657" t="b">
        <v>0</v>
      </c>
      <c r="AD657" s="2"/>
    </row>
    <row r="658" spans="1:30" x14ac:dyDescent="0.25">
      <c r="A658">
        <v>657</v>
      </c>
      <c r="B658" t="s">
        <v>25</v>
      </c>
      <c r="C658" s="3">
        <v>30848</v>
      </c>
      <c r="D658" s="2">
        <f ca="1">DATEDIF(gym_membership[[#This Row],[birthday]],TODAY(),"y")</f>
        <v>42</v>
      </c>
      <c r="E658">
        <v>40</v>
      </c>
      <c r="F658" t="s">
        <v>18</v>
      </c>
      <c r="G658">
        <v>2</v>
      </c>
      <c r="H658" t="s">
        <v>86</v>
      </c>
      <c r="I658" t="s">
        <v>34</v>
      </c>
      <c r="J658" t="s">
        <v>26</v>
      </c>
      <c r="N658" t="b">
        <v>1</v>
      </c>
      <c r="O658" t="s">
        <v>358</v>
      </c>
      <c r="P658" t="s">
        <v>41</v>
      </c>
      <c r="Q658" t="s">
        <v>58</v>
      </c>
      <c r="S658" s="1">
        <v>0.62361111111111112</v>
      </c>
      <c r="T658" s="1">
        <v>0.6958333333333333</v>
      </c>
      <c r="U658">
        <v>104</v>
      </c>
      <c r="V658" t="b">
        <v>0</v>
      </c>
      <c r="W658" t="s">
        <v>21</v>
      </c>
      <c r="Z658" t="b">
        <v>0</v>
      </c>
      <c r="AA658" t="s">
        <v>456</v>
      </c>
      <c r="AB658" t="b">
        <v>1</v>
      </c>
      <c r="AD658" s="2"/>
    </row>
    <row r="659" spans="1:30" x14ac:dyDescent="0.25">
      <c r="A659">
        <v>658</v>
      </c>
      <c r="B659" t="s">
        <v>25</v>
      </c>
      <c r="C659" s="3">
        <v>36161</v>
      </c>
      <c r="D659" s="2">
        <f ca="1">DATEDIF(gym_membership[[#This Row],[birthday]],TODAY(),"y")</f>
        <v>27</v>
      </c>
      <c r="E659">
        <v>25</v>
      </c>
      <c r="F659" t="s">
        <v>22</v>
      </c>
      <c r="G659">
        <v>4</v>
      </c>
      <c r="H659" t="s">
        <v>209</v>
      </c>
      <c r="I659" t="s">
        <v>44</v>
      </c>
      <c r="J659" t="s">
        <v>34</v>
      </c>
      <c r="K659" t="s">
        <v>57</v>
      </c>
      <c r="L659" t="s">
        <v>77</v>
      </c>
      <c r="N659" t="b">
        <v>0</v>
      </c>
      <c r="O659" t="s">
        <v>21</v>
      </c>
      <c r="S659" s="1">
        <v>0.80763888888888891</v>
      </c>
      <c r="T659" s="1">
        <v>0.8666666666666667</v>
      </c>
      <c r="U659">
        <v>85</v>
      </c>
      <c r="V659" t="b">
        <v>0</v>
      </c>
      <c r="W659" t="s">
        <v>21</v>
      </c>
      <c r="Z659" t="b">
        <v>0</v>
      </c>
      <c r="AA659" t="s">
        <v>456</v>
      </c>
      <c r="AB659" t="b">
        <v>1</v>
      </c>
      <c r="AD659" s="2"/>
    </row>
    <row r="660" spans="1:30" x14ac:dyDescent="0.25">
      <c r="A660">
        <v>659</v>
      </c>
      <c r="B660" t="s">
        <v>17</v>
      </c>
      <c r="C660" s="3">
        <v>39005</v>
      </c>
      <c r="D660" s="2">
        <f ca="1">DATEDIF(gym_membership[[#This Row],[birthday]],TODAY(),"y")</f>
        <v>19</v>
      </c>
      <c r="E660">
        <v>17</v>
      </c>
      <c r="F660" t="s">
        <v>22</v>
      </c>
      <c r="G660">
        <v>3</v>
      </c>
      <c r="H660" t="s">
        <v>55</v>
      </c>
      <c r="I660" t="s">
        <v>44</v>
      </c>
      <c r="J660" t="s">
        <v>26</v>
      </c>
      <c r="K660" t="s">
        <v>94</v>
      </c>
      <c r="N660" t="b">
        <v>0</v>
      </c>
      <c r="O660" t="s">
        <v>21</v>
      </c>
      <c r="S660" s="1">
        <v>0.75138888888888888</v>
      </c>
      <c r="T660" s="1">
        <v>0.8256944444444444</v>
      </c>
      <c r="U660">
        <v>107</v>
      </c>
      <c r="V660" t="b">
        <v>0</v>
      </c>
      <c r="W660" t="s">
        <v>21</v>
      </c>
      <c r="Z660" t="b">
        <v>0</v>
      </c>
      <c r="AA660" t="s">
        <v>456</v>
      </c>
      <c r="AB660" t="b">
        <v>1</v>
      </c>
      <c r="AD660" s="2"/>
    </row>
    <row r="661" spans="1:30" x14ac:dyDescent="0.25">
      <c r="A661">
        <v>660</v>
      </c>
      <c r="B661" t="s">
        <v>25</v>
      </c>
      <c r="C661" s="3">
        <v>28293</v>
      </c>
      <c r="D661" s="2">
        <f ca="1">DATEDIF(gym_membership[[#This Row],[birthday]],TODAY(),"y")</f>
        <v>49</v>
      </c>
      <c r="E661">
        <v>47</v>
      </c>
      <c r="F661" t="s">
        <v>18</v>
      </c>
      <c r="G661">
        <v>2</v>
      </c>
      <c r="H661" t="s">
        <v>132</v>
      </c>
      <c r="I661" t="s">
        <v>44</v>
      </c>
      <c r="J661" t="s">
        <v>94</v>
      </c>
      <c r="N661" t="b">
        <v>0</v>
      </c>
      <c r="O661" t="s">
        <v>21</v>
      </c>
      <c r="S661" s="1">
        <v>0.4152777777777778</v>
      </c>
      <c r="T661" s="1">
        <v>0.52152777777777781</v>
      </c>
      <c r="U661">
        <v>153</v>
      </c>
      <c r="V661" t="b">
        <v>0</v>
      </c>
      <c r="W661" t="s">
        <v>21</v>
      </c>
      <c r="Z661" t="b">
        <v>0</v>
      </c>
      <c r="AA661" t="s">
        <v>456</v>
      </c>
      <c r="AB661" t="b">
        <v>1</v>
      </c>
      <c r="AD661" s="2"/>
    </row>
    <row r="662" spans="1:30" x14ac:dyDescent="0.25">
      <c r="A662">
        <v>661</v>
      </c>
      <c r="B662" t="s">
        <v>25</v>
      </c>
      <c r="C662" s="3">
        <v>40152</v>
      </c>
      <c r="D662" s="2">
        <f ca="1">DATEDIF(gym_membership[[#This Row],[birthday]],TODAY(),"y")</f>
        <v>16</v>
      </c>
      <c r="E662">
        <v>14</v>
      </c>
      <c r="F662" t="s">
        <v>22</v>
      </c>
      <c r="G662">
        <v>3</v>
      </c>
      <c r="H662" t="s">
        <v>40</v>
      </c>
      <c r="I662" t="s">
        <v>26</v>
      </c>
      <c r="J662" t="s">
        <v>94</v>
      </c>
      <c r="K662" t="s">
        <v>95</v>
      </c>
      <c r="N662" t="b">
        <v>1</v>
      </c>
      <c r="O662" t="s">
        <v>359</v>
      </c>
      <c r="P662" t="s">
        <v>27</v>
      </c>
      <c r="Q662" t="s">
        <v>58</v>
      </c>
      <c r="R662" t="s">
        <v>91</v>
      </c>
      <c r="S662" s="1">
        <v>0.70972222222222225</v>
      </c>
      <c r="T662" s="1">
        <v>0.73055555555555551</v>
      </c>
      <c r="U662">
        <v>30</v>
      </c>
      <c r="V662" t="b">
        <v>0</v>
      </c>
      <c r="W662" t="s">
        <v>21</v>
      </c>
      <c r="Z662" t="b">
        <v>0</v>
      </c>
      <c r="AA662" t="s">
        <v>456</v>
      </c>
      <c r="AB662" t="b">
        <v>0</v>
      </c>
      <c r="AD662" s="2"/>
    </row>
    <row r="663" spans="1:30" x14ac:dyDescent="0.25">
      <c r="A663">
        <v>662</v>
      </c>
      <c r="B663" t="s">
        <v>25</v>
      </c>
      <c r="C663" s="3">
        <v>31388</v>
      </c>
      <c r="D663" s="2">
        <f ca="1">DATEDIF(gym_membership[[#This Row],[birthday]],TODAY(),"y")</f>
        <v>40</v>
      </c>
      <c r="E663">
        <v>38</v>
      </c>
      <c r="F663" t="s">
        <v>18</v>
      </c>
      <c r="G663">
        <v>2</v>
      </c>
      <c r="H663" t="s">
        <v>37</v>
      </c>
      <c r="I663" t="s">
        <v>34</v>
      </c>
      <c r="J663" t="s">
        <v>77</v>
      </c>
      <c r="N663" t="b">
        <v>1</v>
      </c>
      <c r="O663" t="s">
        <v>196</v>
      </c>
      <c r="P663" t="s">
        <v>120</v>
      </c>
      <c r="Q663" t="s">
        <v>27</v>
      </c>
      <c r="S663" s="1">
        <v>0.48680555555555555</v>
      </c>
      <c r="T663" s="1">
        <v>0.50972222222222219</v>
      </c>
      <c r="U663">
        <v>33</v>
      </c>
      <c r="V663" t="b">
        <v>1</v>
      </c>
      <c r="W663" t="s">
        <v>69</v>
      </c>
      <c r="X663" t="s">
        <v>65</v>
      </c>
      <c r="Y663" t="s">
        <v>39</v>
      </c>
      <c r="Z663" t="b">
        <v>1</v>
      </c>
      <c r="AA663" t="s">
        <v>45</v>
      </c>
      <c r="AB663" t="b">
        <v>0</v>
      </c>
      <c r="AD663" s="2"/>
    </row>
    <row r="664" spans="1:30" x14ac:dyDescent="0.25">
      <c r="A664">
        <v>663</v>
      </c>
      <c r="B664" t="s">
        <v>17</v>
      </c>
      <c r="C664" s="3">
        <v>33889</v>
      </c>
      <c r="D664" s="2">
        <f ca="1">DATEDIF(gym_membership[[#This Row],[birthday]],TODAY(),"y")</f>
        <v>33</v>
      </c>
      <c r="E664">
        <v>32</v>
      </c>
      <c r="F664" t="s">
        <v>22</v>
      </c>
      <c r="G664">
        <v>3</v>
      </c>
      <c r="H664" t="s">
        <v>40</v>
      </c>
      <c r="I664" t="s">
        <v>26</v>
      </c>
      <c r="J664" t="s">
        <v>94</v>
      </c>
      <c r="K664" t="s">
        <v>95</v>
      </c>
      <c r="N664" t="b">
        <v>0</v>
      </c>
      <c r="O664" t="s">
        <v>21</v>
      </c>
      <c r="S664" s="1">
        <v>0.58402777777777781</v>
      </c>
      <c r="T664" s="1">
        <v>0.67847222222222225</v>
      </c>
      <c r="U664">
        <v>136</v>
      </c>
      <c r="V664" t="b">
        <v>0</v>
      </c>
      <c r="W664" t="s">
        <v>21</v>
      </c>
      <c r="Z664" t="b">
        <v>0</v>
      </c>
      <c r="AA664" t="s">
        <v>456</v>
      </c>
      <c r="AB664" t="b">
        <v>0</v>
      </c>
      <c r="AD664" s="2"/>
    </row>
    <row r="665" spans="1:30" x14ac:dyDescent="0.25">
      <c r="A665">
        <v>664</v>
      </c>
      <c r="B665" t="s">
        <v>17</v>
      </c>
      <c r="C665" s="3">
        <v>40629</v>
      </c>
      <c r="D665" s="2">
        <f ca="1">DATEDIF(gym_membership[[#This Row],[birthday]],TODAY(),"y")</f>
        <v>15</v>
      </c>
      <c r="E665">
        <v>13</v>
      </c>
      <c r="F665" t="s">
        <v>22</v>
      </c>
      <c r="G665">
        <v>1</v>
      </c>
      <c r="H665" t="s">
        <v>95</v>
      </c>
      <c r="I665" t="s">
        <v>95</v>
      </c>
      <c r="N665" t="b">
        <v>0</v>
      </c>
      <c r="O665" t="s">
        <v>21</v>
      </c>
      <c r="S665" s="1">
        <v>0.43055555555555558</v>
      </c>
      <c r="T665" s="1">
        <v>0.45624999999999999</v>
      </c>
      <c r="U665">
        <v>37</v>
      </c>
      <c r="V665" t="b">
        <v>1</v>
      </c>
      <c r="W665" t="s">
        <v>39</v>
      </c>
      <c r="X665" t="s">
        <v>39</v>
      </c>
      <c r="Z665" t="b">
        <v>0</v>
      </c>
      <c r="AA665" t="s">
        <v>456</v>
      </c>
      <c r="AB665" t="b">
        <v>1</v>
      </c>
      <c r="AD665" s="2"/>
    </row>
    <row r="666" spans="1:30" x14ac:dyDescent="0.25">
      <c r="A666">
        <v>665</v>
      </c>
      <c r="B666" t="s">
        <v>17</v>
      </c>
      <c r="C666" s="3">
        <v>30278</v>
      </c>
      <c r="D666" s="2">
        <f ca="1">DATEDIF(gym_membership[[#This Row],[birthday]],TODAY(),"y")</f>
        <v>43</v>
      </c>
      <c r="E666">
        <v>41</v>
      </c>
      <c r="F666" t="s">
        <v>22</v>
      </c>
      <c r="G666">
        <v>1</v>
      </c>
      <c r="H666" t="s">
        <v>44</v>
      </c>
      <c r="I666" t="s">
        <v>44</v>
      </c>
      <c r="N666" t="b">
        <v>1</v>
      </c>
      <c r="O666" t="s">
        <v>41</v>
      </c>
      <c r="P666" t="s">
        <v>41</v>
      </c>
      <c r="S666" s="1">
        <v>0.48958333333333331</v>
      </c>
      <c r="T666" s="1">
        <v>0.52638888888888891</v>
      </c>
      <c r="U666">
        <v>53</v>
      </c>
      <c r="V666" t="b">
        <v>1</v>
      </c>
      <c r="W666" t="s">
        <v>204</v>
      </c>
      <c r="X666" t="s">
        <v>39</v>
      </c>
      <c r="Y666" t="s">
        <v>51</v>
      </c>
      <c r="Z666" t="b">
        <v>1</v>
      </c>
      <c r="AA666" t="s">
        <v>24</v>
      </c>
      <c r="AB666" t="b">
        <v>0</v>
      </c>
      <c r="AD666" s="2"/>
    </row>
    <row r="667" spans="1:30" x14ac:dyDescent="0.25">
      <c r="A667">
        <v>666</v>
      </c>
      <c r="B667" t="s">
        <v>17</v>
      </c>
      <c r="C667" s="3">
        <v>38401</v>
      </c>
      <c r="D667" s="2">
        <f ca="1">DATEDIF(gym_membership[[#This Row],[birthday]],TODAY(),"y")</f>
        <v>21</v>
      </c>
      <c r="E667">
        <v>19</v>
      </c>
      <c r="F667" t="s">
        <v>18</v>
      </c>
      <c r="G667">
        <v>2</v>
      </c>
      <c r="H667" t="s">
        <v>37</v>
      </c>
      <c r="I667" t="s">
        <v>34</v>
      </c>
      <c r="J667" t="s">
        <v>77</v>
      </c>
      <c r="N667" t="b">
        <v>1</v>
      </c>
      <c r="O667" t="s">
        <v>58</v>
      </c>
      <c r="P667" t="s">
        <v>58</v>
      </c>
      <c r="S667" s="1">
        <v>0.44583333333333336</v>
      </c>
      <c r="T667" s="1">
        <v>0.56180555555555556</v>
      </c>
      <c r="U667">
        <v>167</v>
      </c>
      <c r="V667" t="b">
        <v>0</v>
      </c>
      <c r="W667" t="s">
        <v>21</v>
      </c>
      <c r="Z667" t="b">
        <v>1</v>
      </c>
      <c r="AA667" t="s">
        <v>29</v>
      </c>
      <c r="AB667" t="b">
        <v>0</v>
      </c>
      <c r="AD667" s="2"/>
    </row>
    <row r="668" spans="1:30" x14ac:dyDescent="0.25">
      <c r="A668">
        <v>667</v>
      </c>
      <c r="B668" t="s">
        <v>25</v>
      </c>
      <c r="C668" s="3">
        <v>27831</v>
      </c>
      <c r="D668" s="2">
        <f ca="1">DATEDIF(gym_membership[[#This Row],[birthday]],TODAY(),"y")</f>
        <v>50</v>
      </c>
      <c r="E668">
        <v>48</v>
      </c>
      <c r="F668" t="s">
        <v>18</v>
      </c>
      <c r="G668">
        <v>2</v>
      </c>
      <c r="H668" t="s">
        <v>119</v>
      </c>
      <c r="I668" t="s">
        <v>44</v>
      </c>
      <c r="J668" t="s">
        <v>57</v>
      </c>
      <c r="N668" t="b">
        <v>1</v>
      </c>
      <c r="O668" t="s">
        <v>360</v>
      </c>
      <c r="P668" t="s">
        <v>100</v>
      </c>
      <c r="Q668" t="s">
        <v>58</v>
      </c>
      <c r="S668" s="1">
        <v>0.49027777777777776</v>
      </c>
      <c r="T668" s="1">
        <v>0.55347222222222225</v>
      </c>
      <c r="U668">
        <v>91</v>
      </c>
      <c r="V668" t="b">
        <v>1</v>
      </c>
      <c r="W668" t="s">
        <v>203</v>
      </c>
      <c r="X668" t="s">
        <v>51</v>
      </c>
      <c r="Y668" t="s">
        <v>39</v>
      </c>
      <c r="Z668" t="b">
        <v>0</v>
      </c>
      <c r="AA668" t="s">
        <v>456</v>
      </c>
      <c r="AB668" t="b">
        <v>1</v>
      </c>
      <c r="AD668" s="2"/>
    </row>
    <row r="669" spans="1:30" x14ac:dyDescent="0.25">
      <c r="A669">
        <v>668</v>
      </c>
      <c r="B669" t="s">
        <v>17</v>
      </c>
      <c r="C669" s="3">
        <v>32477</v>
      </c>
      <c r="D669" s="2">
        <f ca="1">DATEDIF(gym_membership[[#This Row],[birthday]],TODAY(),"y")</f>
        <v>37</v>
      </c>
      <c r="E669">
        <v>35</v>
      </c>
      <c r="F669" t="s">
        <v>22</v>
      </c>
      <c r="G669">
        <v>3</v>
      </c>
      <c r="H669" t="s">
        <v>150</v>
      </c>
      <c r="I669" t="s">
        <v>44</v>
      </c>
      <c r="J669" t="s">
        <v>34</v>
      </c>
      <c r="K669" t="s">
        <v>94</v>
      </c>
      <c r="N669" t="b">
        <v>1</v>
      </c>
      <c r="O669" t="s">
        <v>58</v>
      </c>
      <c r="P669" t="s">
        <v>58</v>
      </c>
      <c r="S669" s="1">
        <v>0.625</v>
      </c>
      <c r="T669" s="1">
        <v>0.72847222222222219</v>
      </c>
      <c r="U669">
        <v>149</v>
      </c>
      <c r="V669" t="b">
        <v>1</v>
      </c>
      <c r="W669" t="s">
        <v>76</v>
      </c>
      <c r="X669" t="s">
        <v>76</v>
      </c>
      <c r="Z669" t="b">
        <v>0</v>
      </c>
      <c r="AA669" t="s">
        <v>456</v>
      </c>
      <c r="AB669" t="b">
        <v>1</v>
      </c>
      <c r="AD669" s="2"/>
    </row>
    <row r="670" spans="1:30" x14ac:dyDescent="0.25">
      <c r="A670">
        <v>669</v>
      </c>
      <c r="B670" t="s">
        <v>17</v>
      </c>
      <c r="C670" s="3">
        <v>31144</v>
      </c>
      <c r="D670" s="2">
        <f ca="1">DATEDIF(gym_membership[[#This Row],[birthday]],TODAY(),"y")</f>
        <v>41</v>
      </c>
      <c r="E670">
        <v>39</v>
      </c>
      <c r="F670" t="s">
        <v>22</v>
      </c>
      <c r="G670">
        <v>5</v>
      </c>
      <c r="H670" t="s">
        <v>88</v>
      </c>
      <c r="I670" t="s">
        <v>34</v>
      </c>
      <c r="J670" t="s">
        <v>94</v>
      </c>
      <c r="K670" t="s">
        <v>95</v>
      </c>
      <c r="L670" t="s">
        <v>57</v>
      </c>
      <c r="M670" t="s">
        <v>77</v>
      </c>
      <c r="N670" t="b">
        <v>1</v>
      </c>
      <c r="O670" t="s">
        <v>67</v>
      </c>
      <c r="P670" t="s">
        <v>67</v>
      </c>
      <c r="S670" s="1">
        <v>0.7944444444444444</v>
      </c>
      <c r="T670" s="1">
        <v>0.83472222222222225</v>
      </c>
      <c r="U670">
        <v>58</v>
      </c>
      <c r="V670" t="b">
        <v>1</v>
      </c>
      <c r="W670" t="s">
        <v>65</v>
      </c>
      <c r="X670" t="s">
        <v>65</v>
      </c>
      <c r="Z670" t="b">
        <v>0</v>
      </c>
      <c r="AA670" t="s">
        <v>456</v>
      </c>
      <c r="AB670" t="b">
        <v>1</v>
      </c>
      <c r="AD670" s="2"/>
    </row>
    <row r="671" spans="1:30" x14ac:dyDescent="0.25">
      <c r="A671">
        <v>670</v>
      </c>
      <c r="B671" t="s">
        <v>17</v>
      </c>
      <c r="C671" s="3">
        <v>36907</v>
      </c>
      <c r="D671" s="2">
        <f ca="1">DATEDIF(gym_membership[[#This Row],[birthday]],TODAY(),"y")</f>
        <v>25</v>
      </c>
      <c r="E671">
        <v>23</v>
      </c>
      <c r="F671" t="s">
        <v>18</v>
      </c>
      <c r="G671">
        <v>4</v>
      </c>
      <c r="H671" t="s">
        <v>259</v>
      </c>
      <c r="I671" t="s">
        <v>44</v>
      </c>
      <c r="J671" t="s">
        <v>26</v>
      </c>
      <c r="K671" t="s">
        <v>94</v>
      </c>
      <c r="L671" t="s">
        <v>57</v>
      </c>
      <c r="N671" t="b">
        <v>1</v>
      </c>
      <c r="O671" t="s">
        <v>361</v>
      </c>
      <c r="P671" t="s">
        <v>100</v>
      </c>
      <c r="Q671" t="s">
        <v>96</v>
      </c>
      <c r="R671" t="s">
        <v>72</v>
      </c>
      <c r="S671" s="1">
        <v>0.38680555555555557</v>
      </c>
      <c r="T671" s="1">
        <v>0.40902777777777777</v>
      </c>
      <c r="U671">
        <v>32</v>
      </c>
      <c r="V671" t="b">
        <v>0</v>
      </c>
      <c r="W671" t="s">
        <v>21</v>
      </c>
      <c r="Z671" t="b">
        <v>0</v>
      </c>
      <c r="AA671" t="s">
        <v>456</v>
      </c>
      <c r="AB671" t="b">
        <v>0</v>
      </c>
      <c r="AD671" s="2"/>
    </row>
    <row r="672" spans="1:30" x14ac:dyDescent="0.25">
      <c r="A672">
        <v>671</v>
      </c>
      <c r="B672" t="s">
        <v>25</v>
      </c>
      <c r="C672" s="3">
        <v>31209</v>
      </c>
      <c r="D672" s="2">
        <f ca="1">DATEDIF(gym_membership[[#This Row],[birthday]],TODAY(),"y")</f>
        <v>41</v>
      </c>
      <c r="E672">
        <v>39</v>
      </c>
      <c r="F672" t="s">
        <v>18</v>
      </c>
      <c r="G672">
        <v>3</v>
      </c>
      <c r="H672" t="s">
        <v>81</v>
      </c>
      <c r="I672" t="s">
        <v>94</v>
      </c>
      <c r="J672" t="s">
        <v>95</v>
      </c>
      <c r="K672" t="s">
        <v>77</v>
      </c>
      <c r="N672" t="b">
        <v>0</v>
      </c>
      <c r="O672" t="s">
        <v>21</v>
      </c>
      <c r="S672" s="1">
        <v>0.52500000000000002</v>
      </c>
      <c r="T672" s="1">
        <v>0.59652777777777777</v>
      </c>
      <c r="U672">
        <v>103</v>
      </c>
      <c r="V672" t="b">
        <v>0</v>
      </c>
      <c r="W672" t="s">
        <v>21</v>
      </c>
      <c r="Z672" t="b">
        <v>1</v>
      </c>
      <c r="AA672" t="s">
        <v>24</v>
      </c>
      <c r="AB672" t="b">
        <v>0</v>
      </c>
      <c r="AD672" s="2"/>
    </row>
    <row r="673" spans="1:30" x14ac:dyDescent="0.25">
      <c r="A673">
        <v>672</v>
      </c>
      <c r="B673" t="s">
        <v>25</v>
      </c>
      <c r="C673" s="3">
        <v>28133</v>
      </c>
      <c r="D673" s="2">
        <f ca="1">DATEDIF(gym_membership[[#This Row],[birthday]],TODAY(),"y")</f>
        <v>49</v>
      </c>
      <c r="E673">
        <v>47</v>
      </c>
      <c r="F673" t="s">
        <v>22</v>
      </c>
      <c r="G673">
        <v>2</v>
      </c>
      <c r="H673" t="s">
        <v>48</v>
      </c>
      <c r="I673" t="s">
        <v>94</v>
      </c>
      <c r="J673" t="s">
        <v>77</v>
      </c>
      <c r="N673" t="b">
        <v>1</v>
      </c>
      <c r="O673" t="s">
        <v>91</v>
      </c>
      <c r="P673" t="s">
        <v>91</v>
      </c>
      <c r="S673" s="1">
        <v>0.34236111111111112</v>
      </c>
      <c r="T673" s="1">
        <v>0.42916666666666664</v>
      </c>
      <c r="U673">
        <v>125</v>
      </c>
      <c r="V673" t="b">
        <v>0</v>
      </c>
      <c r="W673" t="s">
        <v>21</v>
      </c>
      <c r="Z673" t="b">
        <v>1</v>
      </c>
      <c r="AA673" t="s">
        <v>43</v>
      </c>
      <c r="AB673" t="b">
        <v>1</v>
      </c>
      <c r="AD673" s="2"/>
    </row>
    <row r="674" spans="1:30" x14ac:dyDescent="0.25">
      <c r="A674">
        <v>673</v>
      </c>
      <c r="B674" t="s">
        <v>17</v>
      </c>
      <c r="C674" s="3">
        <v>40134</v>
      </c>
      <c r="D674" s="2">
        <f ca="1">DATEDIF(gym_membership[[#This Row],[birthday]],TODAY(),"y")</f>
        <v>16</v>
      </c>
      <c r="E674">
        <v>14</v>
      </c>
      <c r="F674" t="s">
        <v>18</v>
      </c>
      <c r="G674">
        <v>5</v>
      </c>
      <c r="H674" t="s">
        <v>159</v>
      </c>
      <c r="I674" t="s">
        <v>26</v>
      </c>
      <c r="J674" t="s">
        <v>94</v>
      </c>
      <c r="K674" t="s">
        <v>95</v>
      </c>
      <c r="L674" t="s">
        <v>57</v>
      </c>
      <c r="M674" t="s">
        <v>77</v>
      </c>
      <c r="N674" t="b">
        <v>1</v>
      </c>
      <c r="O674" t="s">
        <v>362</v>
      </c>
      <c r="P674" t="s">
        <v>103</v>
      </c>
      <c r="Q674" t="s">
        <v>96</v>
      </c>
      <c r="R674" t="s">
        <v>72</v>
      </c>
      <c r="S674" s="1">
        <v>0.45069444444444445</v>
      </c>
      <c r="T674" s="1">
        <v>0.52777777777777779</v>
      </c>
      <c r="U674">
        <v>111</v>
      </c>
      <c r="V674" t="b">
        <v>1</v>
      </c>
      <c r="W674" t="s">
        <v>65</v>
      </c>
      <c r="X674" t="s">
        <v>65</v>
      </c>
      <c r="Z674" t="b">
        <v>0</v>
      </c>
      <c r="AA674" t="s">
        <v>456</v>
      </c>
      <c r="AB674" t="b">
        <v>0</v>
      </c>
      <c r="AD674" s="2"/>
    </row>
    <row r="675" spans="1:30" x14ac:dyDescent="0.25">
      <c r="A675">
        <v>674</v>
      </c>
      <c r="B675" t="s">
        <v>25</v>
      </c>
      <c r="C675" s="3">
        <v>40282</v>
      </c>
      <c r="D675" s="2">
        <f ca="1">DATEDIF(gym_membership[[#This Row],[birthday]],TODAY(),"y")</f>
        <v>16</v>
      </c>
      <c r="E675">
        <v>14</v>
      </c>
      <c r="F675" t="s">
        <v>22</v>
      </c>
      <c r="G675">
        <v>5</v>
      </c>
      <c r="H675" t="s">
        <v>159</v>
      </c>
      <c r="I675" t="s">
        <v>26</v>
      </c>
      <c r="J675" t="s">
        <v>94</v>
      </c>
      <c r="K675" t="s">
        <v>95</v>
      </c>
      <c r="L675" t="s">
        <v>57</v>
      </c>
      <c r="M675" t="s">
        <v>77</v>
      </c>
      <c r="N675" t="b">
        <v>1</v>
      </c>
      <c r="O675" t="s">
        <v>363</v>
      </c>
      <c r="P675" t="s">
        <v>67</v>
      </c>
      <c r="Q675" t="s">
        <v>41</v>
      </c>
      <c r="R675" t="s">
        <v>96</v>
      </c>
      <c r="S675" s="1">
        <v>0.84444444444444444</v>
      </c>
      <c r="T675" s="1">
        <v>0.93958333333333333</v>
      </c>
      <c r="U675">
        <v>137</v>
      </c>
      <c r="V675" t="b">
        <v>0</v>
      </c>
      <c r="W675" t="s">
        <v>21</v>
      </c>
      <c r="Z675" t="b">
        <v>0</v>
      </c>
      <c r="AA675" t="s">
        <v>456</v>
      </c>
      <c r="AB675" t="b">
        <v>1</v>
      </c>
      <c r="AD675" s="2"/>
    </row>
    <row r="676" spans="1:30" x14ac:dyDescent="0.25">
      <c r="A676">
        <v>675</v>
      </c>
      <c r="B676" t="s">
        <v>17</v>
      </c>
      <c r="C676" s="3">
        <v>30373</v>
      </c>
      <c r="D676" s="2">
        <f ca="1">DATEDIF(gym_membership[[#This Row],[birthday]],TODAY(),"y")</f>
        <v>43</v>
      </c>
      <c r="E676">
        <v>41</v>
      </c>
      <c r="F676" t="s">
        <v>22</v>
      </c>
      <c r="G676">
        <v>1</v>
      </c>
      <c r="H676" t="s">
        <v>94</v>
      </c>
      <c r="I676" t="s">
        <v>94</v>
      </c>
      <c r="N676" t="b">
        <v>0</v>
      </c>
      <c r="O676" t="s">
        <v>21</v>
      </c>
      <c r="S676" s="1">
        <v>0.49444444444444446</v>
      </c>
      <c r="T676" s="1">
        <v>0.53680555555555554</v>
      </c>
      <c r="U676">
        <v>61</v>
      </c>
      <c r="V676" t="b">
        <v>0</v>
      </c>
      <c r="W676" t="s">
        <v>21</v>
      </c>
      <c r="Z676" t="b">
        <v>0</v>
      </c>
      <c r="AA676" t="s">
        <v>456</v>
      </c>
      <c r="AB676" t="b">
        <v>0</v>
      </c>
      <c r="AD676" s="2"/>
    </row>
    <row r="677" spans="1:30" x14ac:dyDescent="0.25">
      <c r="A677">
        <v>676</v>
      </c>
      <c r="B677" t="s">
        <v>17</v>
      </c>
      <c r="C677" s="3">
        <v>29385</v>
      </c>
      <c r="D677" s="2">
        <f ca="1">DATEDIF(gym_membership[[#This Row],[birthday]],TODAY(),"y")</f>
        <v>46</v>
      </c>
      <c r="E677">
        <v>44</v>
      </c>
      <c r="F677" t="s">
        <v>22</v>
      </c>
      <c r="G677">
        <v>1</v>
      </c>
      <c r="H677" t="s">
        <v>77</v>
      </c>
      <c r="I677" t="s">
        <v>77</v>
      </c>
      <c r="N677" t="b">
        <v>1</v>
      </c>
      <c r="O677" t="s">
        <v>364</v>
      </c>
      <c r="P677" t="s">
        <v>103</v>
      </c>
      <c r="Q677" t="s">
        <v>41</v>
      </c>
      <c r="R677" t="s">
        <v>96</v>
      </c>
      <c r="S677" s="1">
        <v>0.34513888888888888</v>
      </c>
      <c r="T677" s="1">
        <v>0.39097222222222222</v>
      </c>
      <c r="U677">
        <v>66</v>
      </c>
      <c r="V677" t="b">
        <v>1</v>
      </c>
      <c r="W677" t="s">
        <v>217</v>
      </c>
      <c r="X677" t="s">
        <v>76</v>
      </c>
      <c r="Y677" t="s">
        <v>59</v>
      </c>
      <c r="Z677" t="b">
        <v>1</v>
      </c>
      <c r="AA677" t="s">
        <v>43</v>
      </c>
      <c r="AB677" t="b">
        <v>0</v>
      </c>
      <c r="AD677" s="2"/>
    </row>
    <row r="678" spans="1:30" x14ac:dyDescent="0.25">
      <c r="A678">
        <v>677</v>
      </c>
      <c r="B678" t="s">
        <v>17</v>
      </c>
      <c r="C678" s="3">
        <v>36662</v>
      </c>
      <c r="D678" s="2">
        <f ca="1">DATEDIF(gym_membership[[#This Row],[birthday]],TODAY(),"y")</f>
        <v>26</v>
      </c>
      <c r="E678">
        <v>24</v>
      </c>
      <c r="F678" t="s">
        <v>18</v>
      </c>
      <c r="G678">
        <v>5</v>
      </c>
      <c r="H678" t="s">
        <v>151</v>
      </c>
      <c r="I678" t="s">
        <v>44</v>
      </c>
      <c r="J678" t="s">
        <v>26</v>
      </c>
      <c r="K678" t="s">
        <v>94</v>
      </c>
      <c r="L678" t="s">
        <v>95</v>
      </c>
      <c r="M678" t="s">
        <v>77</v>
      </c>
      <c r="N678" t="b">
        <v>1</v>
      </c>
      <c r="O678" t="s">
        <v>365</v>
      </c>
      <c r="P678" t="s">
        <v>41</v>
      </c>
      <c r="Q678" t="s">
        <v>120</v>
      </c>
      <c r="S678" s="1">
        <v>0.37916666666666665</v>
      </c>
      <c r="T678" s="1">
        <v>0.42986111111111114</v>
      </c>
      <c r="U678">
        <v>73</v>
      </c>
      <c r="V678" t="b">
        <v>1</v>
      </c>
      <c r="W678" t="s">
        <v>68</v>
      </c>
      <c r="X678" t="s">
        <v>31</v>
      </c>
      <c r="Y678" t="s">
        <v>59</v>
      </c>
      <c r="Z678" t="b">
        <v>0</v>
      </c>
      <c r="AA678" t="s">
        <v>456</v>
      </c>
      <c r="AB678" t="b">
        <v>1</v>
      </c>
      <c r="AD678" s="2"/>
    </row>
    <row r="679" spans="1:30" x14ac:dyDescent="0.25">
      <c r="A679">
        <v>678</v>
      </c>
      <c r="B679" t="s">
        <v>17</v>
      </c>
      <c r="C679" s="3">
        <v>31007</v>
      </c>
      <c r="D679" s="2">
        <f ca="1">DATEDIF(gym_membership[[#This Row],[birthday]],TODAY(),"y")</f>
        <v>41</v>
      </c>
      <c r="E679">
        <v>39</v>
      </c>
      <c r="F679" t="s">
        <v>22</v>
      </c>
      <c r="G679">
        <v>4</v>
      </c>
      <c r="H679" t="s">
        <v>223</v>
      </c>
      <c r="I679" t="s">
        <v>26</v>
      </c>
      <c r="J679" t="s">
        <v>94</v>
      </c>
      <c r="K679" t="s">
        <v>57</v>
      </c>
      <c r="L679" t="s">
        <v>77</v>
      </c>
      <c r="N679" t="b">
        <v>0</v>
      </c>
      <c r="O679" t="s">
        <v>21</v>
      </c>
      <c r="S679" s="1">
        <v>0.58125000000000004</v>
      </c>
      <c r="T679" s="1">
        <v>0.65347222222222223</v>
      </c>
      <c r="U679">
        <v>104</v>
      </c>
      <c r="V679" t="b">
        <v>1</v>
      </c>
      <c r="W679" t="s">
        <v>31</v>
      </c>
      <c r="X679" t="s">
        <v>31</v>
      </c>
      <c r="Z679" t="b">
        <v>1</v>
      </c>
      <c r="AA679" t="s">
        <v>45</v>
      </c>
      <c r="AB679" t="b">
        <v>1</v>
      </c>
      <c r="AD679" s="2"/>
    </row>
    <row r="680" spans="1:30" x14ac:dyDescent="0.25">
      <c r="A680">
        <v>679</v>
      </c>
      <c r="B680" t="s">
        <v>25</v>
      </c>
      <c r="C680" s="3">
        <v>31788</v>
      </c>
      <c r="D680" s="2">
        <f ca="1">DATEDIF(gym_membership[[#This Row],[birthday]],TODAY(),"y")</f>
        <v>39</v>
      </c>
      <c r="E680">
        <v>37</v>
      </c>
      <c r="F680" t="s">
        <v>18</v>
      </c>
      <c r="G680">
        <v>1</v>
      </c>
      <c r="H680" t="s">
        <v>77</v>
      </c>
      <c r="I680" t="s">
        <v>77</v>
      </c>
      <c r="N680" t="b">
        <v>1</v>
      </c>
      <c r="O680" t="s">
        <v>91</v>
      </c>
      <c r="P680" t="s">
        <v>91</v>
      </c>
      <c r="S680" s="1">
        <v>0.38194444444444442</v>
      </c>
      <c r="T680" s="1">
        <v>0.4375</v>
      </c>
      <c r="U680">
        <v>80</v>
      </c>
      <c r="V680" t="b">
        <v>1</v>
      </c>
      <c r="W680" t="s">
        <v>52</v>
      </c>
      <c r="X680" t="s">
        <v>59</v>
      </c>
      <c r="Y680" t="s">
        <v>51</v>
      </c>
      <c r="Z680" t="b">
        <v>0</v>
      </c>
      <c r="AA680" t="s">
        <v>456</v>
      </c>
      <c r="AB680" t="b">
        <v>0</v>
      </c>
      <c r="AD680" s="2"/>
    </row>
    <row r="681" spans="1:30" x14ac:dyDescent="0.25">
      <c r="A681">
        <v>680</v>
      </c>
      <c r="B681" t="s">
        <v>25</v>
      </c>
      <c r="C681" s="3">
        <v>36392</v>
      </c>
      <c r="D681" s="2">
        <f ca="1">DATEDIF(gym_membership[[#This Row],[birthday]],TODAY(),"y")</f>
        <v>27</v>
      </c>
      <c r="E681">
        <v>25</v>
      </c>
      <c r="F681" t="s">
        <v>22</v>
      </c>
      <c r="G681">
        <v>3</v>
      </c>
      <c r="H681" t="s">
        <v>299</v>
      </c>
      <c r="I681" t="s">
        <v>95</v>
      </c>
      <c r="J681" t="s">
        <v>57</v>
      </c>
      <c r="K681" t="s">
        <v>77</v>
      </c>
      <c r="N681" t="b">
        <v>1</v>
      </c>
      <c r="O681" t="s">
        <v>366</v>
      </c>
      <c r="P681" t="s">
        <v>58</v>
      </c>
      <c r="Q681" t="s">
        <v>67</v>
      </c>
      <c r="R681" t="s">
        <v>91</v>
      </c>
      <c r="S681" s="1">
        <v>0.68958333333333333</v>
      </c>
      <c r="T681" s="1">
        <v>0.76111111111111107</v>
      </c>
      <c r="U681">
        <v>103</v>
      </c>
      <c r="V681" t="b">
        <v>0</v>
      </c>
      <c r="W681" t="s">
        <v>21</v>
      </c>
      <c r="Z681" t="b">
        <v>1</v>
      </c>
      <c r="AA681" t="s">
        <v>43</v>
      </c>
      <c r="AB681" t="b">
        <v>0</v>
      </c>
      <c r="AD681" s="2"/>
    </row>
    <row r="682" spans="1:30" x14ac:dyDescent="0.25">
      <c r="A682">
        <v>681</v>
      </c>
      <c r="B682" t="s">
        <v>17</v>
      </c>
      <c r="C682" s="3">
        <v>31737</v>
      </c>
      <c r="D682" s="2">
        <f ca="1">DATEDIF(gym_membership[[#This Row],[birthday]],TODAY(),"y")</f>
        <v>39</v>
      </c>
      <c r="E682">
        <v>37</v>
      </c>
      <c r="F682" t="s">
        <v>18</v>
      </c>
      <c r="G682">
        <v>1</v>
      </c>
      <c r="H682" t="s">
        <v>26</v>
      </c>
      <c r="I682" t="s">
        <v>26</v>
      </c>
      <c r="N682" t="b">
        <v>0</v>
      </c>
      <c r="O682" t="s">
        <v>21</v>
      </c>
      <c r="S682" s="1">
        <v>0.38263888888888886</v>
      </c>
      <c r="T682" s="1">
        <v>0.48125000000000001</v>
      </c>
      <c r="U682">
        <v>142</v>
      </c>
      <c r="V682" t="b">
        <v>1</v>
      </c>
      <c r="W682" t="s">
        <v>51</v>
      </c>
      <c r="X682" t="s">
        <v>51</v>
      </c>
      <c r="Z682" t="b">
        <v>1</v>
      </c>
      <c r="AA682" t="s">
        <v>29</v>
      </c>
      <c r="AB682" t="b">
        <v>0</v>
      </c>
      <c r="AD682" s="2"/>
    </row>
    <row r="683" spans="1:30" x14ac:dyDescent="0.25">
      <c r="A683">
        <v>682</v>
      </c>
      <c r="B683" t="s">
        <v>25</v>
      </c>
      <c r="C683" s="3">
        <v>32808</v>
      </c>
      <c r="D683" s="2">
        <f ca="1">DATEDIF(gym_membership[[#This Row],[birthday]],TODAY(),"y")</f>
        <v>36</v>
      </c>
      <c r="E683">
        <v>34</v>
      </c>
      <c r="F683" t="s">
        <v>18</v>
      </c>
      <c r="G683">
        <v>3</v>
      </c>
      <c r="H683" t="s">
        <v>116</v>
      </c>
      <c r="I683" t="s">
        <v>44</v>
      </c>
      <c r="J683" t="s">
        <v>94</v>
      </c>
      <c r="K683" t="s">
        <v>57</v>
      </c>
      <c r="N683" t="b">
        <v>0</v>
      </c>
      <c r="O683" t="s">
        <v>21</v>
      </c>
      <c r="S683" s="1">
        <v>0.45416666666666666</v>
      </c>
      <c r="T683" s="1">
        <v>0.53402777777777777</v>
      </c>
      <c r="U683">
        <v>115</v>
      </c>
      <c r="V683" t="b">
        <v>1</v>
      </c>
      <c r="W683" t="s">
        <v>31</v>
      </c>
      <c r="X683" t="s">
        <v>31</v>
      </c>
      <c r="Z683" t="b">
        <v>1</v>
      </c>
      <c r="AA683" t="s">
        <v>45</v>
      </c>
      <c r="AB683" t="b">
        <v>1</v>
      </c>
      <c r="AD683" s="2"/>
    </row>
    <row r="684" spans="1:30" x14ac:dyDescent="0.25">
      <c r="A684">
        <v>683</v>
      </c>
      <c r="B684" t="s">
        <v>25</v>
      </c>
      <c r="C684" s="3">
        <v>27550</v>
      </c>
      <c r="D684" s="2">
        <f ca="1">DATEDIF(gym_membership[[#This Row],[birthday]],TODAY(),"y")</f>
        <v>51</v>
      </c>
      <c r="E684">
        <v>49</v>
      </c>
      <c r="F684" t="s">
        <v>22</v>
      </c>
      <c r="G684">
        <v>1</v>
      </c>
      <c r="H684" t="s">
        <v>57</v>
      </c>
      <c r="I684" t="s">
        <v>57</v>
      </c>
      <c r="N684" t="b">
        <v>1</v>
      </c>
      <c r="O684" t="s">
        <v>367</v>
      </c>
      <c r="P684" t="s">
        <v>67</v>
      </c>
      <c r="Q684" t="s">
        <v>128</v>
      </c>
      <c r="R684" t="s">
        <v>120</v>
      </c>
      <c r="S684" s="1">
        <v>0.84930555555555554</v>
      </c>
      <c r="T684" s="1">
        <v>0.88055555555555554</v>
      </c>
      <c r="U684">
        <v>45</v>
      </c>
      <c r="V684" t="b">
        <v>1</v>
      </c>
      <c r="W684" t="s">
        <v>59</v>
      </c>
      <c r="X684" t="s">
        <v>59</v>
      </c>
      <c r="Z684" t="b">
        <v>0</v>
      </c>
      <c r="AA684" t="s">
        <v>456</v>
      </c>
      <c r="AB684" t="b">
        <v>1</v>
      </c>
      <c r="AD684" s="2"/>
    </row>
    <row r="685" spans="1:30" x14ac:dyDescent="0.25">
      <c r="A685">
        <v>684</v>
      </c>
      <c r="B685" t="s">
        <v>17</v>
      </c>
      <c r="C685" s="3">
        <v>38711</v>
      </c>
      <c r="D685" s="2">
        <f ca="1">DATEDIF(gym_membership[[#This Row],[birthday]],TODAY(),"y")</f>
        <v>20</v>
      </c>
      <c r="E685">
        <v>18</v>
      </c>
      <c r="F685" t="s">
        <v>22</v>
      </c>
      <c r="G685">
        <v>1</v>
      </c>
      <c r="H685" t="s">
        <v>77</v>
      </c>
      <c r="I685" t="s">
        <v>77</v>
      </c>
      <c r="N685" t="b">
        <v>1</v>
      </c>
      <c r="O685" t="s">
        <v>120</v>
      </c>
      <c r="P685" t="s">
        <v>120</v>
      </c>
      <c r="S685" s="1">
        <v>0.74375000000000002</v>
      </c>
      <c r="T685" s="1">
        <v>0.83958333333333335</v>
      </c>
      <c r="U685">
        <v>138</v>
      </c>
      <c r="V685" t="b">
        <v>1</v>
      </c>
      <c r="W685" t="s">
        <v>90</v>
      </c>
      <c r="X685" t="s">
        <v>39</v>
      </c>
      <c r="Y685" t="s">
        <v>76</v>
      </c>
      <c r="Z685" t="b">
        <v>0</v>
      </c>
      <c r="AA685" t="s">
        <v>456</v>
      </c>
      <c r="AB685" t="b">
        <v>1</v>
      </c>
      <c r="AD685" s="2"/>
    </row>
    <row r="686" spans="1:30" x14ac:dyDescent="0.25">
      <c r="A686">
        <v>685</v>
      </c>
      <c r="B686" t="s">
        <v>25</v>
      </c>
      <c r="C686" s="3">
        <v>29813</v>
      </c>
      <c r="D686" s="2">
        <f ca="1">DATEDIF(gym_membership[[#This Row],[birthday]],TODAY(),"y")</f>
        <v>45</v>
      </c>
      <c r="E686">
        <v>43</v>
      </c>
      <c r="F686" t="s">
        <v>22</v>
      </c>
      <c r="G686">
        <v>2</v>
      </c>
      <c r="H686" t="s">
        <v>98</v>
      </c>
      <c r="I686" t="s">
        <v>57</v>
      </c>
      <c r="J686" t="s">
        <v>77</v>
      </c>
      <c r="N686" t="b">
        <v>0</v>
      </c>
      <c r="O686" t="s">
        <v>21</v>
      </c>
      <c r="S686" s="1">
        <v>0.77430555555555558</v>
      </c>
      <c r="T686" s="1">
        <v>0.88611111111111107</v>
      </c>
      <c r="U686">
        <v>161</v>
      </c>
      <c r="V686" t="b">
        <v>0</v>
      </c>
      <c r="W686" t="s">
        <v>21</v>
      </c>
      <c r="Z686" t="b">
        <v>1</v>
      </c>
      <c r="AA686" t="s">
        <v>24</v>
      </c>
      <c r="AB686" t="b">
        <v>1</v>
      </c>
      <c r="AD686" s="2"/>
    </row>
    <row r="687" spans="1:30" x14ac:dyDescent="0.25">
      <c r="A687">
        <v>686</v>
      </c>
      <c r="B687" t="s">
        <v>17</v>
      </c>
      <c r="C687" s="3">
        <v>34458</v>
      </c>
      <c r="D687" s="2">
        <f ca="1">DATEDIF(gym_membership[[#This Row],[birthday]],TODAY(),"y")</f>
        <v>32</v>
      </c>
      <c r="E687">
        <v>30</v>
      </c>
      <c r="F687" t="s">
        <v>18</v>
      </c>
      <c r="G687">
        <v>3</v>
      </c>
      <c r="H687" t="s">
        <v>35</v>
      </c>
      <c r="I687" t="s">
        <v>26</v>
      </c>
      <c r="J687" t="s">
        <v>95</v>
      </c>
      <c r="K687" t="s">
        <v>77</v>
      </c>
      <c r="N687" t="b">
        <v>0</v>
      </c>
      <c r="O687" t="s">
        <v>21</v>
      </c>
      <c r="S687" s="1">
        <v>0.42777777777777776</v>
      </c>
      <c r="T687" s="1">
        <v>0.4909722222222222</v>
      </c>
      <c r="U687">
        <v>91</v>
      </c>
      <c r="V687" t="b">
        <v>1</v>
      </c>
      <c r="W687" t="s">
        <v>59</v>
      </c>
      <c r="X687" t="s">
        <v>59</v>
      </c>
      <c r="Z687" t="b">
        <v>0</v>
      </c>
      <c r="AA687" t="s">
        <v>456</v>
      </c>
      <c r="AB687" t="b">
        <v>1</v>
      </c>
      <c r="AD687" s="2"/>
    </row>
    <row r="688" spans="1:30" x14ac:dyDescent="0.25">
      <c r="A688">
        <v>687</v>
      </c>
      <c r="B688" t="s">
        <v>25</v>
      </c>
      <c r="C688" s="3">
        <v>34753</v>
      </c>
      <c r="D688" s="2">
        <f ca="1">DATEDIF(gym_membership[[#This Row],[birthday]],TODAY(),"y")</f>
        <v>31</v>
      </c>
      <c r="E688">
        <v>29</v>
      </c>
      <c r="F688" t="s">
        <v>22</v>
      </c>
      <c r="G688">
        <v>3</v>
      </c>
      <c r="H688" t="s">
        <v>145</v>
      </c>
      <c r="I688" t="s">
        <v>34</v>
      </c>
      <c r="J688" t="s">
        <v>26</v>
      </c>
      <c r="K688" t="s">
        <v>94</v>
      </c>
      <c r="N688" t="b">
        <v>1</v>
      </c>
      <c r="O688" t="s">
        <v>194</v>
      </c>
      <c r="P688" t="s">
        <v>120</v>
      </c>
      <c r="Q688" t="s">
        <v>128</v>
      </c>
      <c r="R688" t="s">
        <v>91</v>
      </c>
      <c r="S688" s="1">
        <v>0.3840277777777778</v>
      </c>
      <c r="T688" s="1">
        <v>0.47708333333333336</v>
      </c>
      <c r="U688">
        <v>134</v>
      </c>
      <c r="V688" t="b">
        <v>0</v>
      </c>
      <c r="W688" t="s">
        <v>21</v>
      </c>
      <c r="Z688" t="b">
        <v>0</v>
      </c>
      <c r="AA688" t="s">
        <v>456</v>
      </c>
      <c r="AB688" t="b">
        <v>1</v>
      </c>
      <c r="AD688" s="2"/>
    </row>
    <row r="689" spans="1:30" x14ac:dyDescent="0.25">
      <c r="A689">
        <v>688</v>
      </c>
      <c r="B689" t="s">
        <v>25</v>
      </c>
      <c r="C689" s="3">
        <v>40760</v>
      </c>
      <c r="D689" s="2">
        <f ca="1">DATEDIF(gym_membership[[#This Row],[birthday]],TODAY(),"y")</f>
        <v>15</v>
      </c>
      <c r="E689">
        <v>13</v>
      </c>
      <c r="F689" t="s">
        <v>18</v>
      </c>
      <c r="G689">
        <v>3</v>
      </c>
      <c r="H689" t="s">
        <v>173</v>
      </c>
      <c r="I689" t="s">
        <v>34</v>
      </c>
      <c r="J689" t="s">
        <v>95</v>
      </c>
      <c r="K689" t="s">
        <v>57</v>
      </c>
      <c r="N689" t="b">
        <v>0</v>
      </c>
      <c r="O689" t="s">
        <v>21</v>
      </c>
      <c r="S689" s="1">
        <v>0.85069444444444442</v>
      </c>
      <c r="T689" s="1">
        <v>0.94722222222222219</v>
      </c>
      <c r="U689">
        <v>139</v>
      </c>
      <c r="V689" t="b">
        <v>0</v>
      </c>
      <c r="W689" t="s">
        <v>21</v>
      </c>
      <c r="Z689" t="b">
        <v>1</v>
      </c>
      <c r="AA689" t="s">
        <v>24</v>
      </c>
      <c r="AB689" t="b">
        <v>0</v>
      </c>
      <c r="AD689" s="2"/>
    </row>
    <row r="690" spans="1:30" x14ac:dyDescent="0.25">
      <c r="A690">
        <v>689</v>
      </c>
      <c r="B690" t="s">
        <v>17</v>
      </c>
      <c r="C690" s="3">
        <v>40665</v>
      </c>
      <c r="D690" s="2">
        <f ca="1">DATEDIF(gym_membership[[#This Row],[birthday]],TODAY(),"y")</f>
        <v>15</v>
      </c>
      <c r="E690">
        <v>13</v>
      </c>
      <c r="F690" t="s">
        <v>22</v>
      </c>
      <c r="G690">
        <v>5</v>
      </c>
      <c r="H690" t="s">
        <v>170</v>
      </c>
      <c r="I690" t="s">
        <v>44</v>
      </c>
      <c r="J690" t="s">
        <v>94</v>
      </c>
      <c r="K690" t="s">
        <v>95</v>
      </c>
      <c r="L690" t="s">
        <v>57</v>
      </c>
      <c r="M690" t="s">
        <v>77</v>
      </c>
      <c r="N690" t="b">
        <v>0</v>
      </c>
      <c r="O690" t="s">
        <v>21</v>
      </c>
      <c r="S690" s="1">
        <v>0.40763888888888888</v>
      </c>
      <c r="T690" s="1">
        <v>0.51111111111111107</v>
      </c>
      <c r="U690">
        <v>149</v>
      </c>
      <c r="V690" t="b">
        <v>0</v>
      </c>
      <c r="W690" t="s">
        <v>21</v>
      </c>
      <c r="Z690" t="b">
        <v>1</v>
      </c>
      <c r="AA690" t="s">
        <v>43</v>
      </c>
      <c r="AB690" t="b">
        <v>0</v>
      </c>
      <c r="AD690" s="2"/>
    </row>
    <row r="691" spans="1:30" x14ac:dyDescent="0.25">
      <c r="A691">
        <v>690</v>
      </c>
      <c r="B691" t="s">
        <v>25</v>
      </c>
      <c r="C691" s="3">
        <v>29095</v>
      </c>
      <c r="D691" s="2">
        <f ca="1">DATEDIF(gym_membership[[#This Row],[birthday]],TODAY(),"y")</f>
        <v>47</v>
      </c>
      <c r="E691">
        <v>45</v>
      </c>
      <c r="F691" t="s">
        <v>18</v>
      </c>
      <c r="G691">
        <v>3</v>
      </c>
      <c r="H691" t="s">
        <v>214</v>
      </c>
      <c r="I691" t="s">
        <v>34</v>
      </c>
      <c r="J691" t="s">
        <v>26</v>
      </c>
      <c r="K691" t="s">
        <v>57</v>
      </c>
      <c r="N691" t="b">
        <v>0</v>
      </c>
      <c r="O691" t="s">
        <v>21</v>
      </c>
      <c r="S691" s="1">
        <v>0.54861111111111116</v>
      </c>
      <c r="T691" s="1">
        <v>0.63541666666666663</v>
      </c>
      <c r="U691">
        <v>125</v>
      </c>
      <c r="V691" t="b">
        <v>1</v>
      </c>
      <c r="W691" t="s">
        <v>31</v>
      </c>
      <c r="X691" t="s">
        <v>31</v>
      </c>
      <c r="Z691" t="b">
        <v>0</v>
      </c>
      <c r="AA691" t="s">
        <v>456</v>
      </c>
      <c r="AB691" t="b">
        <v>1</v>
      </c>
      <c r="AD691" s="2"/>
    </row>
    <row r="692" spans="1:30" x14ac:dyDescent="0.25">
      <c r="A692">
        <v>691</v>
      </c>
      <c r="B692" t="s">
        <v>25</v>
      </c>
      <c r="C692" s="3">
        <v>35191</v>
      </c>
      <c r="D692" s="2">
        <f ca="1">DATEDIF(gym_membership[[#This Row],[birthday]],TODAY(),"y")</f>
        <v>30</v>
      </c>
      <c r="E692">
        <v>28</v>
      </c>
      <c r="F692" t="s">
        <v>18</v>
      </c>
      <c r="G692">
        <v>3</v>
      </c>
      <c r="H692" t="s">
        <v>138</v>
      </c>
      <c r="I692" t="s">
        <v>94</v>
      </c>
      <c r="J692" t="s">
        <v>95</v>
      </c>
      <c r="K692" t="s">
        <v>57</v>
      </c>
      <c r="N692" t="b">
        <v>0</v>
      </c>
      <c r="O692" t="s">
        <v>21</v>
      </c>
      <c r="S692" s="1">
        <v>0.4284722222222222</v>
      </c>
      <c r="T692" s="1">
        <v>0.4909722222222222</v>
      </c>
      <c r="U692">
        <v>90</v>
      </c>
      <c r="V692" t="b">
        <v>0</v>
      </c>
      <c r="W692" t="s">
        <v>21</v>
      </c>
      <c r="Z692" t="b">
        <v>1</v>
      </c>
      <c r="AA692" t="s">
        <v>45</v>
      </c>
      <c r="AB692" t="b">
        <v>0</v>
      </c>
      <c r="AD692" s="2"/>
    </row>
    <row r="693" spans="1:30" x14ac:dyDescent="0.25">
      <c r="A693">
        <v>692</v>
      </c>
      <c r="B693" t="s">
        <v>17</v>
      </c>
      <c r="C693" s="3">
        <v>39416</v>
      </c>
      <c r="D693" s="2">
        <f ca="1">DATEDIF(gym_membership[[#This Row],[birthday]],TODAY(),"y")</f>
        <v>18</v>
      </c>
      <c r="E693">
        <v>16</v>
      </c>
      <c r="F693" t="s">
        <v>18</v>
      </c>
      <c r="G693">
        <v>4</v>
      </c>
      <c r="H693" t="s">
        <v>329</v>
      </c>
      <c r="I693" t="s">
        <v>34</v>
      </c>
      <c r="J693" t="s">
        <v>94</v>
      </c>
      <c r="K693" t="s">
        <v>95</v>
      </c>
      <c r="L693" t="s">
        <v>57</v>
      </c>
      <c r="N693" t="b">
        <v>1</v>
      </c>
      <c r="O693" t="s">
        <v>41</v>
      </c>
      <c r="P693" t="s">
        <v>41</v>
      </c>
      <c r="S693" s="1">
        <v>0.68125000000000002</v>
      </c>
      <c r="T693" s="1">
        <v>0.73472222222222228</v>
      </c>
      <c r="U693">
        <v>77</v>
      </c>
      <c r="V693" t="b">
        <v>0</v>
      </c>
      <c r="W693" t="s">
        <v>21</v>
      </c>
      <c r="Z693" t="b">
        <v>1</v>
      </c>
      <c r="AA693" t="s">
        <v>45</v>
      </c>
      <c r="AB693" t="b">
        <v>0</v>
      </c>
      <c r="AD693" s="2"/>
    </row>
    <row r="694" spans="1:30" x14ac:dyDescent="0.25">
      <c r="A694">
        <v>693</v>
      </c>
      <c r="B694" t="s">
        <v>17</v>
      </c>
      <c r="C694" s="3">
        <v>32125</v>
      </c>
      <c r="D694" s="2">
        <f ca="1">DATEDIF(gym_membership[[#This Row],[birthday]],TODAY(),"y")</f>
        <v>38</v>
      </c>
      <c r="E694">
        <v>36</v>
      </c>
      <c r="F694" t="s">
        <v>22</v>
      </c>
      <c r="G694">
        <v>4</v>
      </c>
      <c r="H694" t="s">
        <v>368</v>
      </c>
      <c r="I694" t="s">
        <v>26</v>
      </c>
      <c r="J694" t="s">
        <v>95</v>
      </c>
      <c r="K694" t="s">
        <v>57</v>
      </c>
      <c r="L694" t="s">
        <v>77</v>
      </c>
      <c r="N694" t="b">
        <v>0</v>
      </c>
      <c r="O694" t="s">
        <v>21</v>
      </c>
      <c r="S694" s="1">
        <v>0.7319444444444444</v>
      </c>
      <c r="T694" s="1">
        <v>0.75416666666666665</v>
      </c>
      <c r="U694">
        <v>32</v>
      </c>
      <c r="V694" t="b">
        <v>1</v>
      </c>
      <c r="W694" t="s">
        <v>124</v>
      </c>
      <c r="X694" t="s">
        <v>31</v>
      </c>
      <c r="Y694" t="s">
        <v>39</v>
      </c>
      <c r="Z694" t="b">
        <v>1</v>
      </c>
      <c r="AA694" t="s">
        <v>43</v>
      </c>
      <c r="AB694" t="b">
        <v>0</v>
      </c>
      <c r="AD694" s="2"/>
    </row>
    <row r="695" spans="1:30" x14ac:dyDescent="0.25">
      <c r="A695">
        <v>694</v>
      </c>
      <c r="B695" t="s">
        <v>17</v>
      </c>
      <c r="C695" s="3">
        <v>38381</v>
      </c>
      <c r="D695" s="2">
        <f ca="1">DATEDIF(gym_membership[[#This Row],[birthday]],TODAY(),"y")</f>
        <v>21</v>
      </c>
      <c r="E695">
        <v>19</v>
      </c>
      <c r="F695" t="s">
        <v>22</v>
      </c>
      <c r="G695">
        <v>2</v>
      </c>
      <c r="H695" t="s">
        <v>235</v>
      </c>
      <c r="I695" t="s">
        <v>95</v>
      </c>
      <c r="J695" t="s">
        <v>57</v>
      </c>
      <c r="N695" t="b">
        <v>0</v>
      </c>
      <c r="O695" t="s">
        <v>21</v>
      </c>
      <c r="S695" s="1">
        <v>0.69444444444444442</v>
      </c>
      <c r="T695" s="1">
        <v>0.73402777777777772</v>
      </c>
      <c r="U695">
        <v>57</v>
      </c>
      <c r="V695" t="b">
        <v>0</v>
      </c>
      <c r="W695" t="s">
        <v>21</v>
      </c>
      <c r="Z695" t="b">
        <v>1</v>
      </c>
      <c r="AA695" t="s">
        <v>29</v>
      </c>
      <c r="AB695" t="b">
        <v>1</v>
      </c>
      <c r="AD695" s="2"/>
    </row>
    <row r="696" spans="1:30" x14ac:dyDescent="0.25">
      <c r="A696">
        <v>695</v>
      </c>
      <c r="B696" t="s">
        <v>17</v>
      </c>
      <c r="C696" s="3">
        <v>35635</v>
      </c>
      <c r="D696" s="2">
        <f ca="1">DATEDIF(gym_membership[[#This Row],[birthday]],TODAY(),"y")</f>
        <v>29</v>
      </c>
      <c r="E696">
        <v>27</v>
      </c>
      <c r="F696" t="s">
        <v>22</v>
      </c>
      <c r="G696">
        <v>1</v>
      </c>
      <c r="H696" t="s">
        <v>34</v>
      </c>
      <c r="I696" t="s">
        <v>34</v>
      </c>
      <c r="N696" t="b">
        <v>0</v>
      </c>
      <c r="O696" t="s">
        <v>21</v>
      </c>
      <c r="S696" s="1">
        <v>0.52083333333333337</v>
      </c>
      <c r="T696" s="1">
        <v>0.54722222222222228</v>
      </c>
      <c r="U696">
        <v>38</v>
      </c>
      <c r="V696" t="b">
        <v>1</v>
      </c>
      <c r="W696" t="s">
        <v>83</v>
      </c>
      <c r="X696" t="s">
        <v>51</v>
      </c>
      <c r="Y696" t="s">
        <v>65</v>
      </c>
      <c r="Z696" t="b">
        <v>0</v>
      </c>
      <c r="AA696" t="s">
        <v>456</v>
      </c>
      <c r="AB696" t="b">
        <v>0</v>
      </c>
      <c r="AD696" s="2"/>
    </row>
    <row r="697" spans="1:30" x14ac:dyDescent="0.25">
      <c r="A697">
        <v>696</v>
      </c>
      <c r="B697" t="s">
        <v>17</v>
      </c>
      <c r="C697" s="3">
        <v>36740</v>
      </c>
      <c r="D697" s="2">
        <f ca="1">DATEDIF(gym_membership[[#This Row],[birthday]],TODAY(),"y")</f>
        <v>26</v>
      </c>
      <c r="E697">
        <v>24</v>
      </c>
      <c r="F697" t="s">
        <v>22</v>
      </c>
      <c r="G697">
        <v>4</v>
      </c>
      <c r="H697" t="s">
        <v>201</v>
      </c>
      <c r="I697" t="s">
        <v>34</v>
      </c>
      <c r="J697" t="s">
        <v>26</v>
      </c>
      <c r="K697" t="s">
        <v>94</v>
      </c>
      <c r="L697" t="s">
        <v>95</v>
      </c>
      <c r="N697" t="b">
        <v>1</v>
      </c>
      <c r="O697" t="s">
        <v>312</v>
      </c>
      <c r="P697" t="s">
        <v>41</v>
      </c>
      <c r="Q697" t="s">
        <v>91</v>
      </c>
      <c r="R697" t="s">
        <v>67</v>
      </c>
      <c r="S697" s="1">
        <v>0.48819444444444443</v>
      </c>
      <c r="T697" s="1">
        <v>0.51875000000000004</v>
      </c>
      <c r="U697">
        <v>44</v>
      </c>
      <c r="V697" t="b">
        <v>1</v>
      </c>
      <c r="W697" t="s">
        <v>51</v>
      </c>
      <c r="X697" t="s">
        <v>51</v>
      </c>
      <c r="Z697" t="b">
        <v>0</v>
      </c>
      <c r="AA697" t="s">
        <v>456</v>
      </c>
      <c r="AB697" t="b">
        <v>0</v>
      </c>
      <c r="AD697" s="2"/>
    </row>
    <row r="698" spans="1:30" x14ac:dyDescent="0.25">
      <c r="A698">
        <v>697</v>
      </c>
      <c r="B698" t="s">
        <v>25</v>
      </c>
      <c r="C698" s="3">
        <v>37326</v>
      </c>
      <c r="D698" s="2">
        <f ca="1">DATEDIF(gym_membership[[#This Row],[birthday]],TODAY(),"y")</f>
        <v>24</v>
      </c>
      <c r="E698">
        <v>22</v>
      </c>
      <c r="F698" t="s">
        <v>22</v>
      </c>
      <c r="G698">
        <v>5</v>
      </c>
      <c r="H698" t="s">
        <v>74</v>
      </c>
      <c r="I698" t="s">
        <v>44</v>
      </c>
      <c r="J698" t="s">
        <v>26</v>
      </c>
      <c r="K698" t="s">
        <v>94</v>
      </c>
      <c r="L698" t="s">
        <v>57</v>
      </c>
      <c r="M698" t="s">
        <v>77</v>
      </c>
      <c r="N698" t="b">
        <v>1</v>
      </c>
      <c r="O698" t="s">
        <v>96</v>
      </c>
      <c r="P698" t="s">
        <v>96</v>
      </c>
      <c r="S698" s="1">
        <v>0.43819444444444444</v>
      </c>
      <c r="T698" s="1">
        <v>0.49166666666666664</v>
      </c>
      <c r="U698">
        <v>77</v>
      </c>
      <c r="V698" t="b">
        <v>1</v>
      </c>
      <c r="W698" t="s">
        <v>51</v>
      </c>
      <c r="X698" t="s">
        <v>51</v>
      </c>
      <c r="Z698" t="b">
        <v>1</v>
      </c>
      <c r="AA698" t="s">
        <v>29</v>
      </c>
      <c r="AB698" t="b">
        <v>0</v>
      </c>
      <c r="AD698" s="2"/>
    </row>
    <row r="699" spans="1:30" x14ac:dyDescent="0.25">
      <c r="A699">
        <v>698</v>
      </c>
      <c r="B699" t="s">
        <v>25</v>
      </c>
      <c r="C699" s="3">
        <v>27474</v>
      </c>
      <c r="D699" s="2">
        <f ca="1">DATEDIF(gym_membership[[#This Row],[birthday]],TODAY(),"y")</f>
        <v>51</v>
      </c>
      <c r="E699">
        <v>49</v>
      </c>
      <c r="F699" t="s">
        <v>22</v>
      </c>
      <c r="G699">
        <v>3</v>
      </c>
      <c r="H699" t="s">
        <v>274</v>
      </c>
      <c r="I699" t="s">
        <v>44</v>
      </c>
      <c r="J699" t="s">
        <v>34</v>
      </c>
      <c r="K699" t="s">
        <v>57</v>
      </c>
      <c r="N699" t="b">
        <v>0</v>
      </c>
      <c r="O699" t="s">
        <v>21</v>
      </c>
      <c r="S699" s="1">
        <v>0.61944444444444446</v>
      </c>
      <c r="T699" s="1">
        <v>0.64236111111111116</v>
      </c>
      <c r="U699">
        <v>33</v>
      </c>
      <c r="V699" t="b">
        <v>1</v>
      </c>
      <c r="W699" t="s">
        <v>92</v>
      </c>
      <c r="X699" t="s">
        <v>31</v>
      </c>
      <c r="Y699" t="s">
        <v>51</v>
      </c>
      <c r="Z699" t="b">
        <v>1</v>
      </c>
      <c r="AA699" t="s">
        <v>24</v>
      </c>
      <c r="AB699" t="b">
        <v>0</v>
      </c>
      <c r="AD699" s="2"/>
    </row>
    <row r="700" spans="1:30" x14ac:dyDescent="0.25">
      <c r="A700">
        <v>699</v>
      </c>
      <c r="B700" t="s">
        <v>25</v>
      </c>
      <c r="C700" s="3">
        <v>39939</v>
      </c>
      <c r="D700" s="2">
        <f ca="1">DATEDIF(gym_membership[[#This Row],[birthday]],TODAY(),"y")</f>
        <v>17</v>
      </c>
      <c r="E700">
        <v>15</v>
      </c>
      <c r="F700" t="s">
        <v>18</v>
      </c>
      <c r="G700">
        <v>3</v>
      </c>
      <c r="H700" t="s">
        <v>55</v>
      </c>
      <c r="I700" t="s">
        <v>44</v>
      </c>
      <c r="J700" t="s">
        <v>26</v>
      </c>
      <c r="K700" t="s">
        <v>94</v>
      </c>
      <c r="N700" t="b">
        <v>1</v>
      </c>
      <c r="O700" t="s">
        <v>369</v>
      </c>
      <c r="P700" t="s">
        <v>103</v>
      </c>
      <c r="Q700" t="s">
        <v>58</v>
      </c>
      <c r="R700" t="s">
        <v>67</v>
      </c>
      <c r="S700" s="1">
        <v>0.75416666666666665</v>
      </c>
      <c r="T700" s="1">
        <v>0.86250000000000004</v>
      </c>
      <c r="U700">
        <v>156</v>
      </c>
      <c r="V700" t="b">
        <v>0</v>
      </c>
      <c r="W700" t="s">
        <v>21</v>
      </c>
      <c r="Z700" t="b">
        <v>1</v>
      </c>
      <c r="AA700" t="s">
        <v>43</v>
      </c>
      <c r="AB700" t="b">
        <v>1</v>
      </c>
      <c r="AD700" s="2"/>
    </row>
    <row r="701" spans="1:30" x14ac:dyDescent="0.25">
      <c r="A701">
        <v>700</v>
      </c>
      <c r="B701" t="s">
        <v>17</v>
      </c>
      <c r="C701" s="3">
        <v>32490</v>
      </c>
      <c r="D701" s="2">
        <f ca="1">DATEDIF(gym_membership[[#This Row],[birthday]],TODAY(),"y")</f>
        <v>37</v>
      </c>
      <c r="E701">
        <v>35</v>
      </c>
      <c r="F701" t="s">
        <v>18</v>
      </c>
      <c r="G701">
        <v>3</v>
      </c>
      <c r="H701" t="s">
        <v>30</v>
      </c>
      <c r="I701" t="s">
        <v>26</v>
      </c>
      <c r="J701" t="s">
        <v>57</v>
      </c>
      <c r="K701" t="s">
        <v>77</v>
      </c>
      <c r="N701" t="b">
        <v>0</v>
      </c>
      <c r="O701" t="s">
        <v>21</v>
      </c>
      <c r="S701" s="1">
        <v>0.69097222222222221</v>
      </c>
      <c r="T701" s="1">
        <v>0.73263888888888884</v>
      </c>
      <c r="U701">
        <v>60</v>
      </c>
      <c r="V701" t="b">
        <v>1</v>
      </c>
      <c r="W701" t="s">
        <v>76</v>
      </c>
      <c r="X701" t="s">
        <v>76</v>
      </c>
      <c r="Z701" t="b">
        <v>0</v>
      </c>
      <c r="AA701" t="s">
        <v>456</v>
      </c>
      <c r="AB701" t="b">
        <v>0</v>
      </c>
      <c r="AD701" s="2"/>
    </row>
    <row r="702" spans="1:30" x14ac:dyDescent="0.25">
      <c r="A702">
        <v>701</v>
      </c>
      <c r="B702" t="s">
        <v>17</v>
      </c>
      <c r="C702" s="3">
        <v>36813</v>
      </c>
      <c r="D702" s="2">
        <f ca="1">DATEDIF(gym_membership[[#This Row],[birthday]],TODAY(),"y")</f>
        <v>25</v>
      </c>
      <c r="E702">
        <v>24</v>
      </c>
      <c r="F702" t="s">
        <v>22</v>
      </c>
      <c r="G702">
        <v>5</v>
      </c>
      <c r="H702" t="s">
        <v>195</v>
      </c>
      <c r="I702" t="s">
        <v>34</v>
      </c>
      <c r="J702" t="s">
        <v>26</v>
      </c>
      <c r="K702" t="s">
        <v>94</v>
      </c>
      <c r="L702" t="s">
        <v>95</v>
      </c>
      <c r="M702" t="s">
        <v>57</v>
      </c>
      <c r="N702" t="b">
        <v>1</v>
      </c>
      <c r="O702" t="s">
        <v>370</v>
      </c>
      <c r="P702" t="s">
        <v>103</v>
      </c>
      <c r="Q702" t="s">
        <v>96</v>
      </c>
      <c r="R702" t="s">
        <v>128</v>
      </c>
      <c r="S702" s="1">
        <v>0.47152777777777777</v>
      </c>
      <c r="T702" s="1">
        <v>0.51944444444444449</v>
      </c>
      <c r="U702">
        <v>69</v>
      </c>
      <c r="V702" t="b">
        <v>0</v>
      </c>
      <c r="W702" t="s">
        <v>21</v>
      </c>
      <c r="Z702" t="b">
        <v>0</v>
      </c>
      <c r="AA702" t="s">
        <v>456</v>
      </c>
      <c r="AB702" t="b">
        <v>1</v>
      </c>
      <c r="AD702" s="2"/>
    </row>
    <row r="703" spans="1:30" x14ac:dyDescent="0.25">
      <c r="A703">
        <v>702</v>
      </c>
      <c r="B703" t="s">
        <v>25</v>
      </c>
      <c r="C703" s="3">
        <v>30564</v>
      </c>
      <c r="D703" s="2">
        <f ca="1">DATEDIF(gym_membership[[#This Row],[birthday]],TODAY(),"y")</f>
        <v>42</v>
      </c>
      <c r="E703">
        <v>41</v>
      </c>
      <c r="F703" t="s">
        <v>22</v>
      </c>
      <c r="G703">
        <v>5</v>
      </c>
      <c r="H703" t="s">
        <v>74</v>
      </c>
      <c r="I703" t="s">
        <v>44</v>
      </c>
      <c r="J703" t="s">
        <v>26</v>
      </c>
      <c r="K703" t="s">
        <v>94</v>
      </c>
      <c r="L703" t="s">
        <v>57</v>
      </c>
      <c r="M703" t="s">
        <v>77</v>
      </c>
      <c r="N703" t="b">
        <v>0</v>
      </c>
      <c r="O703" t="s">
        <v>21</v>
      </c>
      <c r="S703" s="1">
        <v>0.43194444444444446</v>
      </c>
      <c r="T703" s="1">
        <v>0.49652777777777779</v>
      </c>
      <c r="U703">
        <v>93</v>
      </c>
      <c r="V703" t="b">
        <v>1</v>
      </c>
      <c r="W703" t="s">
        <v>241</v>
      </c>
      <c r="X703" t="s">
        <v>39</v>
      </c>
      <c r="Y703" t="s">
        <v>59</v>
      </c>
      <c r="Z703" t="b">
        <v>0</v>
      </c>
      <c r="AA703" t="s">
        <v>456</v>
      </c>
      <c r="AB703" t="b">
        <v>1</v>
      </c>
      <c r="AD703" s="2"/>
    </row>
    <row r="704" spans="1:30" x14ac:dyDescent="0.25">
      <c r="A704">
        <v>703</v>
      </c>
      <c r="B704" t="s">
        <v>25</v>
      </c>
      <c r="C704" s="3">
        <v>32312</v>
      </c>
      <c r="D704" s="2">
        <f ca="1">DATEDIF(gym_membership[[#This Row],[birthday]],TODAY(),"y")</f>
        <v>38</v>
      </c>
      <c r="E704">
        <v>36</v>
      </c>
      <c r="F704" t="s">
        <v>18</v>
      </c>
      <c r="G704">
        <v>3</v>
      </c>
      <c r="H704" t="s">
        <v>84</v>
      </c>
      <c r="I704" t="s">
        <v>26</v>
      </c>
      <c r="J704" t="s">
        <v>94</v>
      </c>
      <c r="K704" t="s">
        <v>57</v>
      </c>
      <c r="N704" t="b">
        <v>1</v>
      </c>
      <c r="O704" t="s">
        <v>371</v>
      </c>
      <c r="P704" t="s">
        <v>58</v>
      </c>
      <c r="Q704" t="s">
        <v>41</v>
      </c>
      <c r="R704" t="s">
        <v>103</v>
      </c>
      <c r="S704" s="1">
        <v>0.66736111111111107</v>
      </c>
      <c r="T704" s="1">
        <v>0.73611111111111116</v>
      </c>
      <c r="U704">
        <v>99</v>
      </c>
      <c r="V704" t="b">
        <v>1</v>
      </c>
      <c r="W704" t="s">
        <v>51</v>
      </c>
      <c r="X704" t="s">
        <v>51</v>
      </c>
      <c r="Z704" t="b">
        <v>1</v>
      </c>
      <c r="AA704" t="s">
        <v>29</v>
      </c>
      <c r="AB704" t="b">
        <v>1</v>
      </c>
      <c r="AD704" s="2"/>
    </row>
    <row r="705" spans="1:30" x14ac:dyDescent="0.25">
      <c r="A705">
        <v>704</v>
      </c>
      <c r="B705" t="s">
        <v>25</v>
      </c>
      <c r="C705" s="3">
        <v>32555</v>
      </c>
      <c r="D705" s="2">
        <f ca="1">DATEDIF(gym_membership[[#This Row],[birthday]],TODAY(),"y")</f>
        <v>37</v>
      </c>
      <c r="E705">
        <v>35</v>
      </c>
      <c r="F705" t="s">
        <v>18</v>
      </c>
      <c r="G705">
        <v>2</v>
      </c>
      <c r="H705" t="s">
        <v>60</v>
      </c>
      <c r="I705" t="s">
        <v>26</v>
      </c>
      <c r="J705" t="s">
        <v>77</v>
      </c>
      <c r="N705" t="b">
        <v>1</v>
      </c>
      <c r="O705" t="s">
        <v>372</v>
      </c>
      <c r="P705" t="s">
        <v>27</v>
      </c>
      <c r="Q705" t="s">
        <v>103</v>
      </c>
      <c r="R705" t="s">
        <v>58</v>
      </c>
      <c r="S705" s="1">
        <v>0.84305555555555556</v>
      </c>
      <c r="T705" s="1">
        <v>0.9375</v>
      </c>
      <c r="U705">
        <v>136</v>
      </c>
      <c r="V705" t="b">
        <v>1</v>
      </c>
      <c r="W705" t="s">
        <v>31</v>
      </c>
      <c r="X705" t="s">
        <v>31</v>
      </c>
      <c r="Z705" t="b">
        <v>1</v>
      </c>
      <c r="AA705" t="s">
        <v>43</v>
      </c>
      <c r="AB705" t="b">
        <v>1</v>
      </c>
      <c r="AD705" s="2"/>
    </row>
    <row r="706" spans="1:30" x14ac:dyDescent="0.25">
      <c r="A706">
        <v>705</v>
      </c>
      <c r="B706" t="s">
        <v>25</v>
      </c>
      <c r="C706" s="3">
        <v>33572</v>
      </c>
      <c r="D706" s="2">
        <f ca="1">DATEDIF(gym_membership[[#This Row],[birthday]],TODAY(),"y")</f>
        <v>34</v>
      </c>
      <c r="E706">
        <v>32</v>
      </c>
      <c r="F706" t="s">
        <v>22</v>
      </c>
      <c r="G706">
        <v>3</v>
      </c>
      <c r="H706" t="s">
        <v>23</v>
      </c>
      <c r="I706" t="s">
        <v>34</v>
      </c>
      <c r="J706" t="s">
        <v>26</v>
      </c>
      <c r="K706" t="s">
        <v>77</v>
      </c>
      <c r="N706" t="b">
        <v>1</v>
      </c>
      <c r="O706" t="s">
        <v>373</v>
      </c>
      <c r="P706" t="s">
        <v>67</v>
      </c>
      <c r="Q706" t="s">
        <v>103</v>
      </c>
      <c r="R706" t="s">
        <v>120</v>
      </c>
      <c r="S706" s="1">
        <v>0.72847222222222219</v>
      </c>
      <c r="T706" s="1">
        <v>0.78263888888888888</v>
      </c>
      <c r="U706">
        <v>78</v>
      </c>
      <c r="V706" t="b">
        <v>1</v>
      </c>
      <c r="W706" t="s">
        <v>124</v>
      </c>
      <c r="X706" t="s">
        <v>31</v>
      </c>
      <c r="Y706" t="s">
        <v>39</v>
      </c>
      <c r="Z706" t="b">
        <v>0</v>
      </c>
      <c r="AA706" t="s">
        <v>456</v>
      </c>
      <c r="AB706" t="b">
        <v>1</v>
      </c>
      <c r="AD706" s="2"/>
    </row>
    <row r="707" spans="1:30" x14ac:dyDescent="0.25">
      <c r="A707">
        <v>706</v>
      </c>
      <c r="B707" t="s">
        <v>17</v>
      </c>
      <c r="C707" s="3">
        <v>31211</v>
      </c>
      <c r="D707" s="2">
        <f ca="1">DATEDIF(gym_membership[[#This Row],[birthday]],TODAY(),"y")</f>
        <v>41</v>
      </c>
      <c r="E707">
        <v>39</v>
      </c>
      <c r="F707" t="s">
        <v>22</v>
      </c>
      <c r="G707">
        <v>3</v>
      </c>
      <c r="H707" t="s">
        <v>123</v>
      </c>
      <c r="I707" t="s">
        <v>44</v>
      </c>
      <c r="J707" t="s">
        <v>94</v>
      </c>
      <c r="K707" t="s">
        <v>95</v>
      </c>
      <c r="N707" t="b">
        <v>0</v>
      </c>
      <c r="O707" t="s">
        <v>21</v>
      </c>
      <c r="S707" s="1">
        <v>0.46180555555555558</v>
      </c>
      <c r="T707" s="1">
        <v>0.48749999999999999</v>
      </c>
      <c r="U707">
        <v>37</v>
      </c>
      <c r="V707" t="b">
        <v>1</v>
      </c>
      <c r="W707" t="s">
        <v>59</v>
      </c>
      <c r="X707" t="s">
        <v>59</v>
      </c>
      <c r="Z707" t="b">
        <v>1</v>
      </c>
      <c r="AA707" t="s">
        <v>45</v>
      </c>
      <c r="AB707" t="b">
        <v>0</v>
      </c>
      <c r="AD707" s="2"/>
    </row>
    <row r="708" spans="1:30" x14ac:dyDescent="0.25">
      <c r="A708">
        <v>707</v>
      </c>
      <c r="B708" t="s">
        <v>25</v>
      </c>
      <c r="C708" s="3">
        <v>35232</v>
      </c>
      <c r="D708" s="2">
        <f ca="1">DATEDIF(gym_membership[[#This Row],[birthday]],TODAY(),"y")</f>
        <v>30</v>
      </c>
      <c r="E708">
        <v>28</v>
      </c>
      <c r="F708" t="s">
        <v>18</v>
      </c>
      <c r="G708">
        <v>5</v>
      </c>
      <c r="H708" t="s">
        <v>129</v>
      </c>
      <c r="I708" t="s">
        <v>34</v>
      </c>
      <c r="J708" t="s">
        <v>26</v>
      </c>
      <c r="K708" t="s">
        <v>94</v>
      </c>
      <c r="L708" t="s">
        <v>95</v>
      </c>
      <c r="M708" t="s">
        <v>77</v>
      </c>
      <c r="N708" t="b">
        <v>1</v>
      </c>
      <c r="O708" t="s">
        <v>374</v>
      </c>
      <c r="P708" t="s">
        <v>27</v>
      </c>
      <c r="Q708" t="s">
        <v>128</v>
      </c>
      <c r="S708" s="1">
        <v>0.56319444444444444</v>
      </c>
      <c r="T708" s="1">
        <v>0.65208333333333335</v>
      </c>
      <c r="U708">
        <v>128</v>
      </c>
      <c r="V708" t="b">
        <v>0</v>
      </c>
      <c r="W708" t="s">
        <v>21</v>
      </c>
      <c r="Z708" t="b">
        <v>1</v>
      </c>
      <c r="AA708" t="s">
        <v>24</v>
      </c>
      <c r="AB708" t="b">
        <v>1</v>
      </c>
      <c r="AD708" s="2"/>
    </row>
    <row r="709" spans="1:30" x14ac:dyDescent="0.25">
      <c r="A709">
        <v>708</v>
      </c>
      <c r="B709" t="s">
        <v>25</v>
      </c>
      <c r="C709" s="3">
        <v>37054</v>
      </c>
      <c r="D709" s="2">
        <f ca="1">DATEDIF(gym_membership[[#This Row],[birthday]],TODAY(),"y")</f>
        <v>25</v>
      </c>
      <c r="E709">
        <v>23</v>
      </c>
      <c r="F709" t="s">
        <v>18</v>
      </c>
      <c r="G709">
        <v>2</v>
      </c>
      <c r="H709" t="s">
        <v>37</v>
      </c>
      <c r="I709" t="s">
        <v>34</v>
      </c>
      <c r="J709" t="s">
        <v>77</v>
      </c>
      <c r="N709" t="b">
        <v>1</v>
      </c>
      <c r="O709" t="s">
        <v>375</v>
      </c>
      <c r="P709" t="s">
        <v>58</v>
      </c>
      <c r="Q709" t="s">
        <v>100</v>
      </c>
      <c r="R709" t="s">
        <v>128</v>
      </c>
      <c r="S709" s="1">
        <v>0.75069444444444444</v>
      </c>
      <c r="T709" s="1">
        <v>0.8125</v>
      </c>
      <c r="U709">
        <v>89</v>
      </c>
      <c r="V709" t="b">
        <v>0</v>
      </c>
      <c r="W709" t="s">
        <v>21</v>
      </c>
      <c r="Z709" t="b">
        <v>1</v>
      </c>
      <c r="AA709" t="s">
        <v>45</v>
      </c>
      <c r="AB709" t="b">
        <v>1</v>
      </c>
      <c r="AD709" s="2"/>
    </row>
    <row r="710" spans="1:30" x14ac:dyDescent="0.25">
      <c r="A710">
        <v>709</v>
      </c>
      <c r="B710" t="s">
        <v>25</v>
      </c>
      <c r="C710" s="3">
        <v>30645</v>
      </c>
      <c r="D710" s="2">
        <f ca="1">DATEDIF(gym_membership[[#This Row],[birthday]],TODAY(),"y")</f>
        <v>42</v>
      </c>
      <c r="E710">
        <v>40</v>
      </c>
      <c r="F710" t="s">
        <v>22</v>
      </c>
      <c r="G710">
        <v>3</v>
      </c>
      <c r="H710" t="s">
        <v>71</v>
      </c>
      <c r="I710" t="s">
        <v>44</v>
      </c>
      <c r="J710" t="s">
        <v>94</v>
      </c>
      <c r="K710" t="s">
        <v>77</v>
      </c>
      <c r="N710" t="b">
        <v>1</v>
      </c>
      <c r="O710" t="s">
        <v>376</v>
      </c>
      <c r="P710" t="s">
        <v>67</v>
      </c>
      <c r="Q710" t="s">
        <v>100</v>
      </c>
      <c r="R710" t="s">
        <v>27</v>
      </c>
      <c r="S710" s="1">
        <v>0.74861111111111112</v>
      </c>
      <c r="T710" s="1">
        <v>0.85624999999999996</v>
      </c>
      <c r="U710">
        <v>155</v>
      </c>
      <c r="V710" t="b">
        <v>1</v>
      </c>
      <c r="W710" t="s">
        <v>241</v>
      </c>
      <c r="X710" t="s">
        <v>39</v>
      </c>
      <c r="Y710" t="s">
        <v>59</v>
      </c>
      <c r="Z710" t="b">
        <v>0</v>
      </c>
      <c r="AA710" t="s">
        <v>456</v>
      </c>
      <c r="AB710" t="b">
        <v>1</v>
      </c>
      <c r="AD710" s="2"/>
    </row>
    <row r="711" spans="1:30" x14ac:dyDescent="0.25">
      <c r="A711">
        <v>710</v>
      </c>
      <c r="B711" t="s">
        <v>17</v>
      </c>
      <c r="C711" s="3">
        <v>38583</v>
      </c>
      <c r="D711" s="2">
        <f ca="1">DATEDIF(gym_membership[[#This Row],[birthday]],TODAY(),"y")</f>
        <v>21</v>
      </c>
      <c r="E711">
        <v>19</v>
      </c>
      <c r="F711" t="s">
        <v>18</v>
      </c>
      <c r="G711">
        <v>5</v>
      </c>
      <c r="H711" t="s">
        <v>168</v>
      </c>
      <c r="I711" t="s">
        <v>44</v>
      </c>
      <c r="J711" t="s">
        <v>34</v>
      </c>
      <c r="K711" t="s">
        <v>26</v>
      </c>
      <c r="L711" t="s">
        <v>95</v>
      </c>
      <c r="M711" t="s">
        <v>77</v>
      </c>
      <c r="N711" t="b">
        <v>1</v>
      </c>
      <c r="O711" t="s">
        <v>318</v>
      </c>
      <c r="P711" t="s">
        <v>96</v>
      </c>
      <c r="Q711" t="s">
        <v>27</v>
      </c>
      <c r="S711" s="1">
        <v>0.45416666666666666</v>
      </c>
      <c r="T711" s="1">
        <v>0.55347222222222225</v>
      </c>
      <c r="U711">
        <v>143</v>
      </c>
      <c r="V711" t="b">
        <v>1</v>
      </c>
      <c r="W711" t="s">
        <v>114</v>
      </c>
      <c r="X711" t="s">
        <v>59</v>
      </c>
      <c r="Y711" t="s">
        <v>76</v>
      </c>
      <c r="Z711" t="b">
        <v>1</v>
      </c>
      <c r="AA711" t="s">
        <v>29</v>
      </c>
      <c r="AB711" t="b">
        <v>0</v>
      </c>
      <c r="AD711" s="2"/>
    </row>
    <row r="712" spans="1:30" x14ac:dyDescent="0.25">
      <c r="A712">
        <v>711</v>
      </c>
      <c r="B712" t="s">
        <v>17</v>
      </c>
      <c r="C712" s="3">
        <v>30395</v>
      </c>
      <c r="D712" s="2">
        <f ca="1">DATEDIF(gym_membership[[#This Row],[birthday]],TODAY(),"y")</f>
        <v>43</v>
      </c>
      <c r="E712">
        <v>41</v>
      </c>
      <c r="F712" t="s">
        <v>22</v>
      </c>
      <c r="G712">
        <v>2</v>
      </c>
      <c r="H712" t="s">
        <v>140</v>
      </c>
      <c r="I712" t="s">
        <v>26</v>
      </c>
      <c r="J712" t="s">
        <v>94</v>
      </c>
      <c r="N712" t="b">
        <v>1</v>
      </c>
      <c r="O712" t="s">
        <v>326</v>
      </c>
      <c r="P712" t="s">
        <v>72</v>
      </c>
      <c r="Q712" t="s">
        <v>27</v>
      </c>
      <c r="S712" s="1">
        <v>0.41458333333333336</v>
      </c>
      <c r="T712" s="1">
        <v>0.48749999999999999</v>
      </c>
      <c r="U712">
        <v>105</v>
      </c>
      <c r="V712" t="b">
        <v>1</v>
      </c>
      <c r="W712" t="s">
        <v>257</v>
      </c>
      <c r="X712" t="s">
        <v>39</v>
      </c>
      <c r="Y712" t="s">
        <v>65</v>
      </c>
      <c r="Z712" t="b">
        <v>0</v>
      </c>
      <c r="AA712" t="s">
        <v>456</v>
      </c>
      <c r="AB712" t="b">
        <v>0</v>
      </c>
      <c r="AD712" s="2"/>
    </row>
    <row r="713" spans="1:30" x14ac:dyDescent="0.25">
      <c r="A713">
        <v>712</v>
      </c>
      <c r="B713" t="s">
        <v>25</v>
      </c>
      <c r="C713" s="3">
        <v>36502</v>
      </c>
      <c r="D713" s="2">
        <f ca="1">DATEDIF(gym_membership[[#This Row],[birthday]],TODAY(),"y")</f>
        <v>26</v>
      </c>
      <c r="E713">
        <v>24</v>
      </c>
      <c r="F713" t="s">
        <v>22</v>
      </c>
      <c r="G713">
        <v>4</v>
      </c>
      <c r="H713" t="s">
        <v>309</v>
      </c>
      <c r="I713" t="s">
        <v>44</v>
      </c>
      <c r="J713" t="s">
        <v>26</v>
      </c>
      <c r="K713" t="s">
        <v>94</v>
      </c>
      <c r="L713" t="s">
        <v>77</v>
      </c>
      <c r="N713" t="b">
        <v>1</v>
      </c>
      <c r="O713" t="s">
        <v>377</v>
      </c>
      <c r="P713" t="s">
        <v>27</v>
      </c>
      <c r="Q713" t="s">
        <v>67</v>
      </c>
      <c r="S713" s="1">
        <v>0.55000000000000004</v>
      </c>
      <c r="T713" s="1">
        <v>0.61736111111111114</v>
      </c>
      <c r="U713">
        <v>97</v>
      </c>
      <c r="V713" t="b">
        <v>0</v>
      </c>
      <c r="W713" t="s">
        <v>21</v>
      </c>
      <c r="Z713" t="b">
        <v>1</v>
      </c>
      <c r="AA713" t="s">
        <v>45</v>
      </c>
      <c r="AB713" t="b">
        <v>0</v>
      </c>
      <c r="AD713" s="2"/>
    </row>
    <row r="714" spans="1:30" x14ac:dyDescent="0.25">
      <c r="A714">
        <v>713</v>
      </c>
      <c r="B714" t="s">
        <v>25</v>
      </c>
      <c r="C714" s="3">
        <v>31722</v>
      </c>
      <c r="D714" s="2">
        <f ca="1">DATEDIF(gym_membership[[#This Row],[birthday]],TODAY(),"y")</f>
        <v>39</v>
      </c>
      <c r="E714">
        <v>37</v>
      </c>
      <c r="F714" t="s">
        <v>22</v>
      </c>
      <c r="G714">
        <v>3</v>
      </c>
      <c r="H714" t="s">
        <v>81</v>
      </c>
      <c r="I714" t="s">
        <v>94</v>
      </c>
      <c r="J714" t="s">
        <v>95</v>
      </c>
      <c r="K714" t="s">
        <v>77</v>
      </c>
      <c r="N714" t="b">
        <v>1</v>
      </c>
      <c r="O714" t="s">
        <v>255</v>
      </c>
      <c r="P714" t="s">
        <v>41</v>
      </c>
      <c r="Q714" t="s">
        <v>67</v>
      </c>
      <c r="S714" s="1">
        <v>0.44236111111111109</v>
      </c>
      <c r="T714" s="1">
        <v>0.52777777777777779</v>
      </c>
      <c r="U714">
        <v>123</v>
      </c>
      <c r="V714" t="b">
        <v>0</v>
      </c>
      <c r="W714" t="s">
        <v>21</v>
      </c>
      <c r="Z714" t="b">
        <v>1</v>
      </c>
      <c r="AA714" t="s">
        <v>24</v>
      </c>
      <c r="AB714" t="b">
        <v>0</v>
      </c>
      <c r="AD714" s="2"/>
    </row>
    <row r="715" spans="1:30" x14ac:dyDescent="0.25">
      <c r="A715">
        <v>714</v>
      </c>
      <c r="B715" t="s">
        <v>17</v>
      </c>
      <c r="C715" s="3">
        <v>29817</v>
      </c>
      <c r="D715" s="2">
        <f ca="1">DATEDIF(gym_membership[[#This Row],[birthday]],TODAY(),"y")</f>
        <v>45</v>
      </c>
      <c r="E715">
        <v>43</v>
      </c>
      <c r="F715" t="s">
        <v>22</v>
      </c>
      <c r="G715">
        <v>1</v>
      </c>
      <c r="H715" t="s">
        <v>77</v>
      </c>
      <c r="I715" t="s">
        <v>77</v>
      </c>
      <c r="N715" t="b">
        <v>1</v>
      </c>
      <c r="O715" t="s">
        <v>378</v>
      </c>
      <c r="P715" t="s">
        <v>120</v>
      </c>
      <c r="Q715" t="s">
        <v>91</v>
      </c>
      <c r="R715" t="s">
        <v>128</v>
      </c>
      <c r="S715" s="1">
        <v>0.4513888888888889</v>
      </c>
      <c r="T715" s="1">
        <v>0.5493055555555556</v>
      </c>
      <c r="U715">
        <v>141</v>
      </c>
      <c r="V715" t="b">
        <v>0</v>
      </c>
      <c r="W715" t="s">
        <v>21</v>
      </c>
      <c r="Z715" t="b">
        <v>0</v>
      </c>
      <c r="AA715" t="s">
        <v>456</v>
      </c>
      <c r="AB715" t="b">
        <v>1</v>
      </c>
      <c r="AD715" s="2"/>
    </row>
    <row r="716" spans="1:30" x14ac:dyDescent="0.25">
      <c r="A716">
        <v>715</v>
      </c>
      <c r="B716" t="s">
        <v>25</v>
      </c>
      <c r="C716" s="3">
        <v>29743</v>
      </c>
      <c r="D716" s="2">
        <f ca="1">DATEDIF(gym_membership[[#This Row],[birthday]],TODAY(),"y")</f>
        <v>45</v>
      </c>
      <c r="E716">
        <v>43</v>
      </c>
      <c r="F716" t="s">
        <v>18</v>
      </c>
      <c r="G716">
        <v>3</v>
      </c>
      <c r="H716" t="s">
        <v>116</v>
      </c>
      <c r="I716" t="s">
        <v>44</v>
      </c>
      <c r="J716" t="s">
        <v>94</v>
      </c>
      <c r="K716" t="s">
        <v>57</v>
      </c>
      <c r="N716" t="b">
        <v>0</v>
      </c>
      <c r="O716" t="s">
        <v>21</v>
      </c>
      <c r="S716" s="1">
        <v>0.50138888888888888</v>
      </c>
      <c r="T716" s="1">
        <v>0.58819444444444446</v>
      </c>
      <c r="U716">
        <v>125</v>
      </c>
      <c r="V716" t="b">
        <v>1</v>
      </c>
      <c r="W716" t="s">
        <v>51</v>
      </c>
      <c r="X716" t="s">
        <v>51</v>
      </c>
      <c r="Z716" t="b">
        <v>1</v>
      </c>
      <c r="AA716" t="s">
        <v>29</v>
      </c>
      <c r="AB716" t="b">
        <v>1</v>
      </c>
      <c r="AD716" s="2"/>
    </row>
    <row r="717" spans="1:30" x14ac:dyDescent="0.25">
      <c r="A717">
        <v>716</v>
      </c>
      <c r="B717" t="s">
        <v>17</v>
      </c>
      <c r="C717" s="3">
        <v>34913</v>
      </c>
      <c r="D717" s="2">
        <f ca="1">DATEDIF(gym_membership[[#This Row],[birthday]],TODAY(),"y")</f>
        <v>31</v>
      </c>
      <c r="E717">
        <v>29</v>
      </c>
      <c r="F717" t="s">
        <v>22</v>
      </c>
      <c r="G717">
        <v>4</v>
      </c>
      <c r="H717" t="s">
        <v>265</v>
      </c>
      <c r="I717" t="s">
        <v>44</v>
      </c>
      <c r="J717" t="s">
        <v>34</v>
      </c>
      <c r="K717" t="s">
        <v>94</v>
      </c>
      <c r="L717" t="s">
        <v>95</v>
      </c>
      <c r="N717" t="b">
        <v>1</v>
      </c>
      <c r="O717" t="s">
        <v>379</v>
      </c>
      <c r="P717" t="s">
        <v>100</v>
      </c>
      <c r="Q717" t="s">
        <v>58</v>
      </c>
      <c r="R717" t="s">
        <v>41</v>
      </c>
      <c r="S717" s="1">
        <v>0.76041666666666663</v>
      </c>
      <c r="T717" s="1">
        <v>0.78749999999999998</v>
      </c>
      <c r="U717">
        <v>39</v>
      </c>
      <c r="V717" t="b">
        <v>0</v>
      </c>
      <c r="W717" t="s">
        <v>21</v>
      </c>
      <c r="Z717" t="b">
        <v>1</v>
      </c>
      <c r="AA717" t="s">
        <v>29</v>
      </c>
      <c r="AB717" t="b">
        <v>1</v>
      </c>
      <c r="AD717" s="2"/>
    </row>
    <row r="718" spans="1:30" x14ac:dyDescent="0.25">
      <c r="A718">
        <v>717</v>
      </c>
      <c r="B718" t="s">
        <v>25</v>
      </c>
      <c r="C718" s="3">
        <v>29258</v>
      </c>
      <c r="D718" s="2">
        <f ca="1">DATEDIF(gym_membership[[#This Row],[birthday]],TODAY(),"y")</f>
        <v>46</v>
      </c>
      <c r="E718">
        <v>44</v>
      </c>
      <c r="F718" t="s">
        <v>18</v>
      </c>
      <c r="G718">
        <v>4</v>
      </c>
      <c r="H718" t="s">
        <v>368</v>
      </c>
      <c r="I718" t="s">
        <v>26</v>
      </c>
      <c r="J718" t="s">
        <v>95</v>
      </c>
      <c r="K718" t="s">
        <v>57</v>
      </c>
      <c r="L718" t="s">
        <v>77</v>
      </c>
      <c r="N718" t="b">
        <v>0</v>
      </c>
      <c r="O718" t="s">
        <v>21</v>
      </c>
      <c r="S718" s="1">
        <v>0.46527777777777779</v>
      </c>
      <c r="T718" s="1">
        <v>0.48888888888888887</v>
      </c>
      <c r="U718">
        <v>34</v>
      </c>
      <c r="V718" t="b">
        <v>0</v>
      </c>
      <c r="W718" t="s">
        <v>21</v>
      </c>
      <c r="Z718" t="b">
        <v>0</v>
      </c>
      <c r="AA718" t="s">
        <v>456</v>
      </c>
      <c r="AB718" t="b">
        <v>1</v>
      </c>
      <c r="AD718" s="2"/>
    </row>
    <row r="719" spans="1:30" x14ac:dyDescent="0.25">
      <c r="A719">
        <v>718</v>
      </c>
      <c r="B719" t="s">
        <v>25</v>
      </c>
      <c r="C719" s="3">
        <v>35397</v>
      </c>
      <c r="D719" s="2">
        <f ca="1">DATEDIF(gym_membership[[#This Row],[birthday]],TODAY(),"y")</f>
        <v>29</v>
      </c>
      <c r="E719">
        <v>27</v>
      </c>
      <c r="F719" t="s">
        <v>22</v>
      </c>
      <c r="G719">
        <v>2</v>
      </c>
      <c r="H719" t="s">
        <v>289</v>
      </c>
      <c r="I719" t="s">
        <v>34</v>
      </c>
      <c r="J719" t="s">
        <v>95</v>
      </c>
      <c r="N719" t="b">
        <v>1</v>
      </c>
      <c r="O719" t="s">
        <v>27</v>
      </c>
      <c r="P719" t="s">
        <v>27</v>
      </c>
      <c r="S719" s="1">
        <v>0.85555555555555551</v>
      </c>
      <c r="T719" s="1">
        <v>0.93055555555555558</v>
      </c>
      <c r="U719">
        <v>108</v>
      </c>
      <c r="V719" t="b">
        <v>1</v>
      </c>
      <c r="W719" t="s">
        <v>68</v>
      </c>
      <c r="X719" t="s">
        <v>31</v>
      </c>
      <c r="Y719" t="s">
        <v>59</v>
      </c>
      <c r="Z719" t="b">
        <v>0</v>
      </c>
      <c r="AA719" t="s">
        <v>456</v>
      </c>
      <c r="AB719" t="b">
        <v>0</v>
      </c>
      <c r="AD719" s="2"/>
    </row>
    <row r="720" spans="1:30" x14ac:dyDescent="0.25">
      <c r="A720">
        <v>719</v>
      </c>
      <c r="B720" t="s">
        <v>25</v>
      </c>
      <c r="C720" s="3">
        <v>32893</v>
      </c>
      <c r="D720" s="2">
        <f ca="1">DATEDIF(gym_membership[[#This Row],[birthday]],TODAY(),"y")</f>
        <v>36</v>
      </c>
      <c r="E720">
        <v>34</v>
      </c>
      <c r="F720" t="s">
        <v>22</v>
      </c>
      <c r="G720">
        <v>5</v>
      </c>
      <c r="H720" t="s">
        <v>102</v>
      </c>
      <c r="I720" t="s">
        <v>44</v>
      </c>
      <c r="J720" t="s">
        <v>34</v>
      </c>
      <c r="K720" t="s">
        <v>94</v>
      </c>
      <c r="L720" t="s">
        <v>95</v>
      </c>
      <c r="M720" t="s">
        <v>57</v>
      </c>
      <c r="N720" t="b">
        <v>0</v>
      </c>
      <c r="O720" t="s">
        <v>21</v>
      </c>
      <c r="S720" s="1">
        <v>0.35625000000000001</v>
      </c>
      <c r="T720" s="1">
        <v>0.43680555555555556</v>
      </c>
      <c r="U720">
        <v>116</v>
      </c>
      <c r="V720" t="b">
        <v>0</v>
      </c>
      <c r="W720" t="s">
        <v>21</v>
      </c>
      <c r="Z720" t="b">
        <v>0</v>
      </c>
      <c r="AA720" t="s">
        <v>456</v>
      </c>
      <c r="AB720" t="b">
        <v>0</v>
      </c>
      <c r="AD720" s="2"/>
    </row>
    <row r="721" spans="1:30" x14ac:dyDescent="0.25">
      <c r="A721">
        <v>720</v>
      </c>
      <c r="B721" t="s">
        <v>25</v>
      </c>
      <c r="C721" s="3">
        <v>38765</v>
      </c>
      <c r="D721" s="2">
        <f ca="1">DATEDIF(gym_membership[[#This Row],[birthday]],TODAY(),"y")</f>
        <v>20</v>
      </c>
      <c r="E721">
        <v>18</v>
      </c>
      <c r="F721" t="s">
        <v>22</v>
      </c>
      <c r="G721">
        <v>4</v>
      </c>
      <c r="H721" t="s">
        <v>329</v>
      </c>
      <c r="I721" t="s">
        <v>34</v>
      </c>
      <c r="J721" t="s">
        <v>94</v>
      </c>
      <c r="K721" t="s">
        <v>95</v>
      </c>
      <c r="L721" t="s">
        <v>57</v>
      </c>
      <c r="N721" t="b">
        <v>1</v>
      </c>
      <c r="O721" t="s">
        <v>380</v>
      </c>
      <c r="P721" t="s">
        <v>103</v>
      </c>
      <c r="Q721" t="s">
        <v>72</v>
      </c>
      <c r="R721" t="s">
        <v>58</v>
      </c>
      <c r="S721" s="1">
        <v>0.8208333333333333</v>
      </c>
      <c r="T721" s="1">
        <v>0.87291666666666667</v>
      </c>
      <c r="U721">
        <v>75</v>
      </c>
      <c r="V721" t="b">
        <v>0</v>
      </c>
      <c r="W721" t="s">
        <v>21</v>
      </c>
      <c r="Z721" t="b">
        <v>0</v>
      </c>
      <c r="AA721" t="s">
        <v>456</v>
      </c>
      <c r="AB721" t="b">
        <v>0</v>
      </c>
      <c r="AD721" s="2"/>
    </row>
    <row r="722" spans="1:30" x14ac:dyDescent="0.25">
      <c r="A722">
        <v>721</v>
      </c>
      <c r="B722" t="s">
        <v>25</v>
      </c>
      <c r="C722" s="3">
        <v>34544</v>
      </c>
      <c r="D722" s="2">
        <f ca="1">DATEDIF(gym_membership[[#This Row],[birthday]],TODAY(),"y")</f>
        <v>32</v>
      </c>
      <c r="E722">
        <v>30</v>
      </c>
      <c r="F722" t="s">
        <v>18</v>
      </c>
      <c r="G722">
        <v>2</v>
      </c>
      <c r="H722" t="s">
        <v>60</v>
      </c>
      <c r="I722" t="s">
        <v>26</v>
      </c>
      <c r="J722" t="s">
        <v>77</v>
      </c>
      <c r="N722" t="b">
        <v>0</v>
      </c>
      <c r="O722" t="s">
        <v>21</v>
      </c>
      <c r="S722" s="1">
        <v>0.35972222222222222</v>
      </c>
      <c r="T722" s="1">
        <v>0.45694444444444443</v>
      </c>
      <c r="U722">
        <v>140</v>
      </c>
      <c r="V722" t="b">
        <v>1</v>
      </c>
      <c r="W722" t="s">
        <v>39</v>
      </c>
      <c r="X722" t="s">
        <v>39</v>
      </c>
      <c r="Z722" t="b">
        <v>1</v>
      </c>
      <c r="AA722" t="s">
        <v>24</v>
      </c>
      <c r="AB722" t="b">
        <v>0</v>
      </c>
      <c r="AD722" s="2"/>
    </row>
    <row r="723" spans="1:30" x14ac:dyDescent="0.25">
      <c r="A723">
        <v>722</v>
      </c>
      <c r="B723" t="s">
        <v>25</v>
      </c>
      <c r="C723" s="3">
        <v>38515</v>
      </c>
      <c r="D723" s="2">
        <f ca="1">DATEDIF(gym_membership[[#This Row],[birthday]],TODAY(),"y")</f>
        <v>21</v>
      </c>
      <c r="E723">
        <v>19</v>
      </c>
      <c r="F723" t="s">
        <v>22</v>
      </c>
      <c r="G723">
        <v>1</v>
      </c>
      <c r="H723" t="s">
        <v>94</v>
      </c>
      <c r="I723" t="s">
        <v>94</v>
      </c>
      <c r="N723" t="b">
        <v>0</v>
      </c>
      <c r="O723" t="s">
        <v>21</v>
      </c>
      <c r="S723" s="1">
        <v>0.47847222222222224</v>
      </c>
      <c r="T723" s="1">
        <v>0.60138888888888886</v>
      </c>
      <c r="U723">
        <v>177</v>
      </c>
      <c r="V723" t="b">
        <v>1</v>
      </c>
      <c r="W723" t="s">
        <v>80</v>
      </c>
      <c r="X723" t="s">
        <v>59</v>
      </c>
      <c r="Y723" t="s">
        <v>39</v>
      </c>
      <c r="Z723" t="b">
        <v>1</v>
      </c>
      <c r="AA723" t="s">
        <v>43</v>
      </c>
      <c r="AB723" t="b">
        <v>0</v>
      </c>
      <c r="AD723" s="2"/>
    </row>
    <row r="724" spans="1:30" x14ac:dyDescent="0.25">
      <c r="A724">
        <v>723</v>
      </c>
      <c r="B724" t="s">
        <v>25</v>
      </c>
      <c r="C724" s="3">
        <v>35676</v>
      </c>
      <c r="D724" s="2">
        <f ca="1">DATEDIF(gym_membership[[#This Row],[birthday]],TODAY(),"y")</f>
        <v>28</v>
      </c>
      <c r="E724">
        <v>27</v>
      </c>
      <c r="F724" t="s">
        <v>18</v>
      </c>
      <c r="G724">
        <v>1</v>
      </c>
      <c r="H724" t="s">
        <v>34</v>
      </c>
      <c r="I724" t="s">
        <v>34</v>
      </c>
      <c r="N724" t="b">
        <v>1</v>
      </c>
      <c r="O724" t="s">
        <v>41</v>
      </c>
      <c r="P724" t="s">
        <v>41</v>
      </c>
      <c r="S724" s="1">
        <v>0.76527777777777772</v>
      </c>
      <c r="T724" s="1">
        <v>0.88888888888888884</v>
      </c>
      <c r="U724">
        <v>178</v>
      </c>
      <c r="V724" t="b">
        <v>1</v>
      </c>
      <c r="W724" t="s">
        <v>28</v>
      </c>
      <c r="X724" t="s">
        <v>76</v>
      </c>
      <c r="Y724" t="s">
        <v>65</v>
      </c>
      <c r="Z724" t="b">
        <v>0</v>
      </c>
      <c r="AA724" t="s">
        <v>456</v>
      </c>
      <c r="AB724" t="b">
        <v>1</v>
      </c>
      <c r="AD724" s="2"/>
    </row>
    <row r="725" spans="1:30" x14ac:dyDescent="0.25">
      <c r="A725">
        <v>724</v>
      </c>
      <c r="B725" t="s">
        <v>25</v>
      </c>
      <c r="C725" s="3">
        <v>28321</v>
      </c>
      <c r="D725" s="2">
        <f ca="1">DATEDIF(gym_membership[[#This Row],[birthday]],TODAY(),"y")</f>
        <v>49</v>
      </c>
      <c r="E725">
        <v>47</v>
      </c>
      <c r="F725" t="s">
        <v>18</v>
      </c>
      <c r="G725">
        <v>2</v>
      </c>
      <c r="H725" t="s">
        <v>66</v>
      </c>
      <c r="I725" t="s">
        <v>34</v>
      </c>
      <c r="J725" t="s">
        <v>57</v>
      </c>
      <c r="N725" t="b">
        <v>1</v>
      </c>
      <c r="O725" t="s">
        <v>278</v>
      </c>
      <c r="P725" t="s">
        <v>67</v>
      </c>
      <c r="Q725" t="s">
        <v>58</v>
      </c>
      <c r="S725" s="1">
        <v>0.79583333333333328</v>
      </c>
      <c r="T725" s="1">
        <v>0.82152777777777775</v>
      </c>
      <c r="U725">
        <v>37</v>
      </c>
      <c r="V725" t="b">
        <v>0</v>
      </c>
      <c r="W725" t="s">
        <v>21</v>
      </c>
      <c r="Z725" t="b">
        <v>1</v>
      </c>
      <c r="AA725" t="s">
        <v>24</v>
      </c>
      <c r="AB725" t="b">
        <v>1</v>
      </c>
      <c r="AD725" s="2"/>
    </row>
    <row r="726" spans="1:30" x14ac:dyDescent="0.25">
      <c r="A726">
        <v>725</v>
      </c>
      <c r="B726" t="s">
        <v>17</v>
      </c>
      <c r="C726" s="3">
        <v>30236</v>
      </c>
      <c r="D726" s="2">
        <f ca="1">DATEDIF(gym_membership[[#This Row],[birthday]],TODAY(),"y")</f>
        <v>43</v>
      </c>
      <c r="E726">
        <v>42</v>
      </c>
      <c r="F726" t="s">
        <v>18</v>
      </c>
      <c r="G726">
        <v>2</v>
      </c>
      <c r="H726" t="s">
        <v>235</v>
      </c>
      <c r="I726" t="s">
        <v>95</v>
      </c>
      <c r="J726" t="s">
        <v>57</v>
      </c>
      <c r="N726" t="b">
        <v>0</v>
      </c>
      <c r="O726" t="s">
        <v>21</v>
      </c>
      <c r="S726" s="1">
        <v>0.8041666666666667</v>
      </c>
      <c r="T726" s="1">
        <v>0.90208333333333335</v>
      </c>
      <c r="U726">
        <v>141</v>
      </c>
      <c r="V726" t="b">
        <v>0</v>
      </c>
      <c r="W726" t="s">
        <v>21</v>
      </c>
      <c r="Z726" t="b">
        <v>1</v>
      </c>
      <c r="AA726" t="s">
        <v>45</v>
      </c>
      <c r="AB726" t="b">
        <v>1</v>
      </c>
      <c r="AD726" s="2"/>
    </row>
    <row r="727" spans="1:30" x14ac:dyDescent="0.25">
      <c r="A727">
        <v>726</v>
      </c>
      <c r="B727" t="s">
        <v>25</v>
      </c>
      <c r="C727" s="3">
        <v>33041</v>
      </c>
      <c r="D727" s="2">
        <f ca="1">DATEDIF(gym_membership[[#This Row],[birthday]],TODAY(),"y")</f>
        <v>36</v>
      </c>
      <c r="E727">
        <v>34</v>
      </c>
      <c r="F727" t="s">
        <v>18</v>
      </c>
      <c r="G727">
        <v>3</v>
      </c>
      <c r="H727" t="s">
        <v>93</v>
      </c>
      <c r="I727" t="s">
        <v>34</v>
      </c>
      <c r="J727" t="s">
        <v>94</v>
      </c>
      <c r="K727" t="s">
        <v>57</v>
      </c>
      <c r="N727" t="b">
        <v>0</v>
      </c>
      <c r="O727" t="s">
        <v>21</v>
      </c>
      <c r="S727" s="1">
        <v>0.45416666666666666</v>
      </c>
      <c r="T727" s="1">
        <v>0.48055555555555557</v>
      </c>
      <c r="U727">
        <v>38</v>
      </c>
      <c r="V727" t="b">
        <v>0</v>
      </c>
      <c r="W727" t="s">
        <v>21</v>
      </c>
      <c r="Z727" t="b">
        <v>0</v>
      </c>
      <c r="AA727" t="s">
        <v>456</v>
      </c>
      <c r="AB727" t="b">
        <v>0</v>
      </c>
      <c r="AD727" s="2"/>
    </row>
    <row r="728" spans="1:30" x14ac:dyDescent="0.25">
      <c r="A728">
        <v>727</v>
      </c>
      <c r="B728" t="s">
        <v>25</v>
      </c>
      <c r="C728" s="3">
        <v>31204</v>
      </c>
      <c r="D728" s="2">
        <f ca="1">DATEDIF(gym_membership[[#This Row],[birthday]],TODAY(),"y")</f>
        <v>41</v>
      </c>
      <c r="E728">
        <v>39</v>
      </c>
      <c r="F728" t="s">
        <v>18</v>
      </c>
      <c r="G728">
        <v>4</v>
      </c>
      <c r="H728" t="s">
        <v>309</v>
      </c>
      <c r="I728" t="s">
        <v>44</v>
      </c>
      <c r="J728" t="s">
        <v>26</v>
      </c>
      <c r="K728" t="s">
        <v>94</v>
      </c>
      <c r="L728" t="s">
        <v>77</v>
      </c>
      <c r="N728" t="b">
        <v>1</v>
      </c>
      <c r="O728" t="s">
        <v>33</v>
      </c>
      <c r="P728" t="s">
        <v>128</v>
      </c>
      <c r="Q728" t="s">
        <v>103</v>
      </c>
      <c r="R728" t="s">
        <v>72</v>
      </c>
      <c r="S728" s="1">
        <v>0.49375000000000002</v>
      </c>
      <c r="T728" s="1">
        <v>0.51527777777777772</v>
      </c>
      <c r="U728">
        <v>31</v>
      </c>
      <c r="V728" t="b">
        <v>0</v>
      </c>
      <c r="W728" t="s">
        <v>21</v>
      </c>
      <c r="Z728" t="b">
        <v>0</v>
      </c>
      <c r="AA728" t="s">
        <v>456</v>
      </c>
      <c r="AB728" t="b">
        <v>1</v>
      </c>
      <c r="AD728" s="2"/>
    </row>
    <row r="729" spans="1:30" x14ac:dyDescent="0.25">
      <c r="A729">
        <v>728</v>
      </c>
      <c r="B729" t="s">
        <v>17</v>
      </c>
      <c r="C729" s="3">
        <v>36967</v>
      </c>
      <c r="D729" s="2">
        <f ca="1">DATEDIF(gym_membership[[#This Row],[birthday]],TODAY(),"y")</f>
        <v>25</v>
      </c>
      <c r="E729">
        <v>23</v>
      </c>
      <c r="F729" t="s">
        <v>18</v>
      </c>
      <c r="G729">
        <v>5</v>
      </c>
      <c r="H729" t="s">
        <v>88</v>
      </c>
      <c r="I729" t="s">
        <v>34</v>
      </c>
      <c r="J729" t="s">
        <v>94</v>
      </c>
      <c r="K729" t="s">
        <v>95</v>
      </c>
      <c r="L729" t="s">
        <v>57</v>
      </c>
      <c r="M729" t="s">
        <v>77</v>
      </c>
      <c r="N729" t="b">
        <v>1</v>
      </c>
      <c r="O729" t="s">
        <v>243</v>
      </c>
      <c r="P729" t="s">
        <v>72</v>
      </c>
      <c r="Q729" t="s">
        <v>41</v>
      </c>
      <c r="S729" s="1">
        <v>0.87291666666666667</v>
      </c>
      <c r="T729" s="1">
        <v>0.98263888888888884</v>
      </c>
      <c r="U729">
        <v>158</v>
      </c>
      <c r="V729" t="b">
        <v>0</v>
      </c>
      <c r="W729" t="s">
        <v>21</v>
      </c>
      <c r="Z729" t="b">
        <v>0</v>
      </c>
      <c r="AA729" t="s">
        <v>456</v>
      </c>
      <c r="AB729" t="b">
        <v>1</v>
      </c>
      <c r="AD729" s="2"/>
    </row>
    <row r="730" spans="1:30" x14ac:dyDescent="0.25">
      <c r="A730">
        <v>729</v>
      </c>
      <c r="B730" t="s">
        <v>25</v>
      </c>
      <c r="C730" s="3">
        <v>30621</v>
      </c>
      <c r="D730" s="2">
        <f ca="1">DATEDIF(gym_membership[[#This Row],[birthday]],TODAY(),"y")</f>
        <v>42</v>
      </c>
      <c r="E730">
        <v>40</v>
      </c>
      <c r="F730" t="s">
        <v>22</v>
      </c>
      <c r="G730">
        <v>3</v>
      </c>
      <c r="H730" t="s">
        <v>173</v>
      </c>
      <c r="I730" t="s">
        <v>34</v>
      </c>
      <c r="J730" t="s">
        <v>95</v>
      </c>
      <c r="K730" t="s">
        <v>57</v>
      </c>
      <c r="N730" t="b">
        <v>0</v>
      </c>
      <c r="O730" t="s">
        <v>21</v>
      </c>
      <c r="S730" s="1">
        <v>0.81805555555555554</v>
      </c>
      <c r="T730" s="1">
        <v>0.88194444444444442</v>
      </c>
      <c r="U730">
        <v>92</v>
      </c>
      <c r="V730" t="b">
        <v>1</v>
      </c>
      <c r="W730" t="s">
        <v>51</v>
      </c>
      <c r="X730" t="s">
        <v>51</v>
      </c>
      <c r="Z730" t="b">
        <v>1</v>
      </c>
      <c r="AA730" t="s">
        <v>24</v>
      </c>
      <c r="AB730" t="b">
        <v>1</v>
      </c>
      <c r="AD730" s="2"/>
    </row>
    <row r="731" spans="1:30" x14ac:dyDescent="0.25">
      <c r="A731">
        <v>730</v>
      </c>
      <c r="B731" t="s">
        <v>25</v>
      </c>
      <c r="C731" s="3">
        <v>31238</v>
      </c>
      <c r="D731" s="2">
        <f ca="1">DATEDIF(gym_membership[[#This Row],[birthday]],TODAY(),"y")</f>
        <v>41</v>
      </c>
      <c r="E731">
        <v>39</v>
      </c>
      <c r="F731" t="s">
        <v>18</v>
      </c>
      <c r="G731">
        <v>5</v>
      </c>
      <c r="H731" t="s">
        <v>88</v>
      </c>
      <c r="I731" t="s">
        <v>34</v>
      </c>
      <c r="J731" t="s">
        <v>94</v>
      </c>
      <c r="K731" t="s">
        <v>95</v>
      </c>
      <c r="L731" t="s">
        <v>57</v>
      </c>
      <c r="M731" t="s">
        <v>77</v>
      </c>
      <c r="N731" t="b">
        <v>0</v>
      </c>
      <c r="O731" t="s">
        <v>21</v>
      </c>
      <c r="S731" s="1">
        <v>0.64444444444444449</v>
      </c>
      <c r="T731" s="1">
        <v>0.6875</v>
      </c>
      <c r="U731">
        <v>62</v>
      </c>
      <c r="V731" t="b">
        <v>0</v>
      </c>
      <c r="W731" t="s">
        <v>21</v>
      </c>
      <c r="Z731" t="b">
        <v>1</v>
      </c>
      <c r="AA731" t="s">
        <v>24</v>
      </c>
      <c r="AB731" t="b">
        <v>1</v>
      </c>
      <c r="AD731" s="2"/>
    </row>
    <row r="732" spans="1:30" x14ac:dyDescent="0.25">
      <c r="A732">
        <v>731</v>
      </c>
      <c r="B732" t="s">
        <v>17</v>
      </c>
      <c r="C732" s="3">
        <v>39592</v>
      </c>
      <c r="D732" s="2">
        <f ca="1">DATEDIF(gym_membership[[#This Row],[birthday]],TODAY(),"y")</f>
        <v>18</v>
      </c>
      <c r="E732">
        <v>16</v>
      </c>
      <c r="F732" t="s">
        <v>18</v>
      </c>
      <c r="G732">
        <v>2</v>
      </c>
      <c r="H732" t="s">
        <v>156</v>
      </c>
      <c r="I732" t="s">
        <v>44</v>
      </c>
      <c r="J732" t="s">
        <v>77</v>
      </c>
      <c r="N732" t="b">
        <v>1</v>
      </c>
      <c r="O732" t="s">
        <v>381</v>
      </c>
      <c r="P732" t="s">
        <v>27</v>
      </c>
      <c r="Q732" t="s">
        <v>91</v>
      </c>
      <c r="S732" s="1">
        <v>0.38194444444444442</v>
      </c>
      <c r="T732" s="1">
        <v>0.49930555555555556</v>
      </c>
      <c r="U732">
        <v>169</v>
      </c>
      <c r="V732" t="b">
        <v>1</v>
      </c>
      <c r="W732" t="s">
        <v>31</v>
      </c>
      <c r="X732" t="s">
        <v>31</v>
      </c>
      <c r="Z732" t="b">
        <v>1</v>
      </c>
      <c r="AA732" t="s">
        <v>45</v>
      </c>
      <c r="AB732" t="b">
        <v>0</v>
      </c>
      <c r="AD732" s="2"/>
    </row>
    <row r="733" spans="1:30" x14ac:dyDescent="0.25">
      <c r="A733">
        <v>732</v>
      </c>
      <c r="B733" t="s">
        <v>17</v>
      </c>
      <c r="C733" s="3">
        <v>33409</v>
      </c>
      <c r="D733" s="2">
        <f ca="1">DATEDIF(gym_membership[[#This Row],[birthday]],TODAY(),"y")</f>
        <v>35</v>
      </c>
      <c r="E733">
        <v>33</v>
      </c>
      <c r="F733" t="s">
        <v>18</v>
      </c>
      <c r="G733">
        <v>4</v>
      </c>
      <c r="H733" t="s">
        <v>225</v>
      </c>
      <c r="I733" t="s">
        <v>44</v>
      </c>
      <c r="J733" t="s">
        <v>26</v>
      </c>
      <c r="K733" t="s">
        <v>95</v>
      </c>
      <c r="L733" t="s">
        <v>77</v>
      </c>
      <c r="N733" t="b">
        <v>0</v>
      </c>
      <c r="O733" t="s">
        <v>21</v>
      </c>
      <c r="S733" s="1">
        <v>0.5625</v>
      </c>
      <c r="T733" s="1">
        <v>0.59513888888888888</v>
      </c>
      <c r="U733">
        <v>47</v>
      </c>
      <c r="V733" t="b">
        <v>1</v>
      </c>
      <c r="W733" t="s">
        <v>80</v>
      </c>
      <c r="X733" t="s">
        <v>59</v>
      </c>
      <c r="Y733" t="s">
        <v>39</v>
      </c>
      <c r="Z733" t="b">
        <v>1</v>
      </c>
      <c r="AA733" t="s">
        <v>45</v>
      </c>
      <c r="AB733" t="b">
        <v>1</v>
      </c>
      <c r="AD733" s="2"/>
    </row>
    <row r="734" spans="1:30" x14ac:dyDescent="0.25">
      <c r="A734">
        <v>733</v>
      </c>
      <c r="B734" t="s">
        <v>25</v>
      </c>
      <c r="C734" s="3">
        <v>28149</v>
      </c>
      <c r="D734" s="2">
        <f ca="1">DATEDIF(gym_membership[[#This Row],[birthday]],TODAY(),"y")</f>
        <v>49</v>
      </c>
      <c r="E734">
        <v>47</v>
      </c>
      <c r="F734" t="s">
        <v>22</v>
      </c>
      <c r="G734">
        <v>1</v>
      </c>
      <c r="H734" t="s">
        <v>57</v>
      </c>
      <c r="I734" t="s">
        <v>57</v>
      </c>
      <c r="N734" t="b">
        <v>1</v>
      </c>
      <c r="O734" t="s">
        <v>336</v>
      </c>
      <c r="P734" t="s">
        <v>41</v>
      </c>
      <c r="Q734" t="s">
        <v>128</v>
      </c>
      <c r="S734" s="1">
        <v>0.76041666666666663</v>
      </c>
      <c r="T734" s="1">
        <v>0.83263888888888893</v>
      </c>
      <c r="U734">
        <v>104</v>
      </c>
      <c r="V734" t="b">
        <v>1</v>
      </c>
      <c r="W734" t="s">
        <v>39</v>
      </c>
      <c r="X734" t="s">
        <v>39</v>
      </c>
      <c r="Z734" t="b">
        <v>0</v>
      </c>
      <c r="AA734" t="s">
        <v>456</v>
      </c>
      <c r="AB734" t="b">
        <v>1</v>
      </c>
      <c r="AD734" s="2"/>
    </row>
    <row r="735" spans="1:30" x14ac:dyDescent="0.25">
      <c r="A735">
        <v>734</v>
      </c>
      <c r="B735" t="s">
        <v>25</v>
      </c>
      <c r="C735" s="3">
        <v>36502</v>
      </c>
      <c r="D735" s="2">
        <f ca="1">DATEDIF(gym_membership[[#This Row],[birthday]],TODAY(),"y")</f>
        <v>26</v>
      </c>
      <c r="E735">
        <v>24</v>
      </c>
      <c r="F735" t="s">
        <v>18</v>
      </c>
      <c r="G735">
        <v>3</v>
      </c>
      <c r="H735" t="s">
        <v>185</v>
      </c>
      <c r="I735" t="s">
        <v>34</v>
      </c>
      <c r="J735" t="s">
        <v>95</v>
      </c>
      <c r="K735" t="s">
        <v>77</v>
      </c>
      <c r="N735" t="b">
        <v>0</v>
      </c>
      <c r="O735" t="s">
        <v>21</v>
      </c>
      <c r="S735" s="1">
        <v>0.3840277777777778</v>
      </c>
      <c r="T735" s="1">
        <v>0.48402777777777778</v>
      </c>
      <c r="U735">
        <v>144</v>
      </c>
      <c r="V735" t="b">
        <v>0</v>
      </c>
      <c r="W735" t="s">
        <v>21</v>
      </c>
      <c r="Z735" t="b">
        <v>0</v>
      </c>
      <c r="AA735" t="s">
        <v>456</v>
      </c>
      <c r="AB735" t="b">
        <v>0</v>
      </c>
      <c r="AD735" s="2"/>
    </row>
    <row r="736" spans="1:30" x14ac:dyDescent="0.25">
      <c r="A736">
        <v>735</v>
      </c>
      <c r="B736" t="s">
        <v>17</v>
      </c>
      <c r="C736" s="3">
        <v>33274</v>
      </c>
      <c r="D736" s="2">
        <f ca="1">DATEDIF(gym_membership[[#This Row],[birthday]],TODAY(),"y")</f>
        <v>35</v>
      </c>
      <c r="E736">
        <v>33</v>
      </c>
      <c r="F736" t="s">
        <v>22</v>
      </c>
      <c r="G736">
        <v>2</v>
      </c>
      <c r="H736" t="s">
        <v>119</v>
      </c>
      <c r="I736" t="s">
        <v>44</v>
      </c>
      <c r="J736" t="s">
        <v>57</v>
      </c>
      <c r="N736" t="b">
        <v>1</v>
      </c>
      <c r="O736" t="s">
        <v>67</v>
      </c>
      <c r="P736" t="s">
        <v>67</v>
      </c>
      <c r="S736" s="1">
        <v>0.39166666666666666</v>
      </c>
      <c r="T736" s="1">
        <v>0.51666666666666672</v>
      </c>
      <c r="U736">
        <v>180</v>
      </c>
      <c r="V736" t="b">
        <v>0</v>
      </c>
      <c r="W736" t="s">
        <v>21</v>
      </c>
      <c r="Z736" t="b">
        <v>1</v>
      </c>
      <c r="AA736" t="s">
        <v>43</v>
      </c>
      <c r="AB736" t="b">
        <v>0</v>
      </c>
      <c r="AD736" s="2"/>
    </row>
    <row r="737" spans="1:30" x14ac:dyDescent="0.25">
      <c r="A737">
        <v>736</v>
      </c>
      <c r="B737" t="s">
        <v>25</v>
      </c>
      <c r="C737" s="3">
        <v>30301</v>
      </c>
      <c r="D737" s="2">
        <f ca="1">DATEDIF(gym_membership[[#This Row],[birthday]],TODAY(),"y")</f>
        <v>43</v>
      </c>
      <c r="E737">
        <v>41</v>
      </c>
      <c r="F737" t="s">
        <v>18</v>
      </c>
      <c r="G737">
        <v>2</v>
      </c>
      <c r="H737" t="s">
        <v>289</v>
      </c>
      <c r="I737" t="s">
        <v>34</v>
      </c>
      <c r="J737" t="s">
        <v>95</v>
      </c>
      <c r="N737" t="b">
        <v>1</v>
      </c>
      <c r="O737" t="s">
        <v>382</v>
      </c>
      <c r="P737" t="s">
        <v>72</v>
      </c>
      <c r="Q737" t="s">
        <v>41</v>
      </c>
      <c r="R737" t="s">
        <v>67</v>
      </c>
      <c r="S737" s="1">
        <v>0.87083333333333335</v>
      </c>
      <c r="T737" s="1">
        <v>0.99236111111111114</v>
      </c>
      <c r="U737">
        <v>175</v>
      </c>
      <c r="V737" t="b">
        <v>0</v>
      </c>
      <c r="W737" t="s">
        <v>21</v>
      </c>
      <c r="Z737" t="b">
        <v>1</v>
      </c>
      <c r="AA737" t="s">
        <v>24</v>
      </c>
      <c r="AB737" t="b">
        <v>1</v>
      </c>
      <c r="AD737" s="2"/>
    </row>
    <row r="738" spans="1:30" x14ac:dyDescent="0.25">
      <c r="A738">
        <v>737</v>
      </c>
      <c r="B738" t="s">
        <v>25</v>
      </c>
      <c r="C738" s="3">
        <v>32218</v>
      </c>
      <c r="D738" s="2">
        <f ca="1">DATEDIF(gym_membership[[#This Row],[birthday]],TODAY(),"y")</f>
        <v>38</v>
      </c>
      <c r="E738">
        <v>36</v>
      </c>
      <c r="F738" t="s">
        <v>18</v>
      </c>
      <c r="G738">
        <v>1</v>
      </c>
      <c r="H738" t="s">
        <v>34</v>
      </c>
      <c r="I738" t="s">
        <v>34</v>
      </c>
      <c r="N738" t="b">
        <v>0</v>
      </c>
      <c r="O738" t="s">
        <v>21</v>
      </c>
      <c r="S738" s="1">
        <v>0.36319444444444443</v>
      </c>
      <c r="T738" s="1">
        <v>0.43125000000000002</v>
      </c>
      <c r="U738">
        <v>98</v>
      </c>
      <c r="V738" t="b">
        <v>1</v>
      </c>
      <c r="W738" t="s">
        <v>339</v>
      </c>
      <c r="X738" t="s">
        <v>51</v>
      </c>
      <c r="Y738" t="s">
        <v>76</v>
      </c>
      <c r="Z738" t="b">
        <v>0</v>
      </c>
      <c r="AA738" t="s">
        <v>456</v>
      </c>
      <c r="AB738" t="b">
        <v>0</v>
      </c>
      <c r="AD738" s="2"/>
    </row>
    <row r="739" spans="1:30" x14ac:dyDescent="0.25">
      <c r="A739">
        <v>738</v>
      </c>
      <c r="B739" t="s">
        <v>17</v>
      </c>
      <c r="C739" s="3">
        <v>28031</v>
      </c>
      <c r="D739" s="2">
        <f ca="1">DATEDIF(gym_membership[[#This Row],[birthday]],TODAY(),"y")</f>
        <v>49</v>
      </c>
      <c r="E739">
        <v>48</v>
      </c>
      <c r="F739" t="s">
        <v>22</v>
      </c>
      <c r="G739">
        <v>5</v>
      </c>
      <c r="H739" t="s">
        <v>187</v>
      </c>
      <c r="I739" t="s">
        <v>34</v>
      </c>
      <c r="J739" t="s">
        <v>26</v>
      </c>
      <c r="K739" t="s">
        <v>95</v>
      </c>
      <c r="L739" t="s">
        <v>57</v>
      </c>
      <c r="M739" t="s">
        <v>77</v>
      </c>
      <c r="N739" t="b">
        <v>1</v>
      </c>
      <c r="O739" t="s">
        <v>103</v>
      </c>
      <c r="P739" t="s">
        <v>103</v>
      </c>
      <c r="S739" s="1">
        <v>0.47291666666666665</v>
      </c>
      <c r="T739" s="1">
        <v>0.5708333333333333</v>
      </c>
      <c r="U739">
        <v>141</v>
      </c>
      <c r="V739" t="b">
        <v>1</v>
      </c>
      <c r="W739" t="s">
        <v>39</v>
      </c>
      <c r="X739" t="s">
        <v>39</v>
      </c>
      <c r="Z739" t="b">
        <v>1</v>
      </c>
      <c r="AA739" t="s">
        <v>43</v>
      </c>
      <c r="AB739" t="b">
        <v>1</v>
      </c>
      <c r="AD739" s="2"/>
    </row>
    <row r="740" spans="1:30" x14ac:dyDescent="0.25">
      <c r="A740">
        <v>739</v>
      </c>
      <c r="B740" t="s">
        <v>17</v>
      </c>
      <c r="C740" s="3">
        <v>37934</v>
      </c>
      <c r="D740" s="2">
        <f ca="1">DATEDIF(gym_membership[[#This Row],[birthday]],TODAY(),"y")</f>
        <v>22</v>
      </c>
      <c r="E740">
        <v>20</v>
      </c>
      <c r="F740" t="s">
        <v>18</v>
      </c>
      <c r="G740">
        <v>3</v>
      </c>
      <c r="H740" t="s">
        <v>46</v>
      </c>
      <c r="I740" t="s">
        <v>44</v>
      </c>
      <c r="J740" t="s">
        <v>95</v>
      </c>
      <c r="K740" t="s">
        <v>77</v>
      </c>
      <c r="N740" t="b">
        <v>0</v>
      </c>
      <c r="O740" t="s">
        <v>21</v>
      </c>
      <c r="S740" s="1">
        <v>0.64444444444444449</v>
      </c>
      <c r="T740" s="1">
        <v>0.74861111111111112</v>
      </c>
      <c r="U740">
        <v>150</v>
      </c>
      <c r="V740" t="b">
        <v>1</v>
      </c>
      <c r="W740" t="s">
        <v>59</v>
      </c>
      <c r="X740" t="s">
        <v>59</v>
      </c>
      <c r="Z740" t="b">
        <v>0</v>
      </c>
      <c r="AA740" t="s">
        <v>456</v>
      </c>
      <c r="AB740" t="b">
        <v>1</v>
      </c>
      <c r="AD740" s="2"/>
    </row>
    <row r="741" spans="1:30" x14ac:dyDescent="0.25">
      <c r="A741">
        <v>740</v>
      </c>
      <c r="B741" t="s">
        <v>17</v>
      </c>
      <c r="C741" s="3">
        <v>38528</v>
      </c>
      <c r="D741" s="2">
        <f ca="1">DATEDIF(gym_membership[[#This Row],[birthday]],TODAY(),"y")</f>
        <v>21</v>
      </c>
      <c r="E741">
        <v>19</v>
      </c>
      <c r="F741" t="s">
        <v>18</v>
      </c>
      <c r="G741">
        <v>4</v>
      </c>
      <c r="H741" t="s">
        <v>383</v>
      </c>
      <c r="I741" t="s">
        <v>44</v>
      </c>
      <c r="J741" t="s">
        <v>26</v>
      </c>
      <c r="K741" t="s">
        <v>94</v>
      </c>
      <c r="L741" t="s">
        <v>95</v>
      </c>
      <c r="N741" t="b">
        <v>0</v>
      </c>
      <c r="O741" t="s">
        <v>21</v>
      </c>
      <c r="S741" s="1">
        <v>0.46944444444444444</v>
      </c>
      <c r="T741" s="1">
        <v>0.52638888888888891</v>
      </c>
      <c r="U741">
        <v>82</v>
      </c>
      <c r="V741" t="b">
        <v>0</v>
      </c>
      <c r="W741" t="s">
        <v>21</v>
      </c>
      <c r="Z741" t="b">
        <v>0</v>
      </c>
      <c r="AA741" t="s">
        <v>456</v>
      </c>
      <c r="AB741" t="b">
        <v>1</v>
      </c>
      <c r="AD741" s="2"/>
    </row>
    <row r="742" spans="1:30" x14ac:dyDescent="0.25">
      <c r="A742">
        <v>741</v>
      </c>
      <c r="B742" t="s">
        <v>25</v>
      </c>
      <c r="C742" s="3">
        <v>39909</v>
      </c>
      <c r="D742" s="2">
        <f ca="1">DATEDIF(gym_membership[[#This Row],[birthday]],TODAY(),"y")</f>
        <v>17</v>
      </c>
      <c r="E742">
        <v>15</v>
      </c>
      <c r="F742" t="s">
        <v>22</v>
      </c>
      <c r="G742">
        <v>2</v>
      </c>
      <c r="H742" t="s">
        <v>133</v>
      </c>
      <c r="I742" t="s">
        <v>34</v>
      </c>
      <c r="J742" t="s">
        <v>94</v>
      </c>
      <c r="N742" t="b">
        <v>1</v>
      </c>
      <c r="O742" t="s">
        <v>58</v>
      </c>
      <c r="P742" t="s">
        <v>58</v>
      </c>
      <c r="S742" s="1">
        <v>0.83819444444444446</v>
      </c>
      <c r="T742" s="1">
        <v>0.90208333333333335</v>
      </c>
      <c r="U742">
        <v>92</v>
      </c>
      <c r="V742" t="b">
        <v>1</v>
      </c>
      <c r="W742" t="s">
        <v>241</v>
      </c>
      <c r="X742" t="s">
        <v>39</v>
      </c>
      <c r="Y742" t="s">
        <v>59</v>
      </c>
      <c r="Z742" t="b">
        <v>0</v>
      </c>
      <c r="AA742" t="s">
        <v>456</v>
      </c>
      <c r="AB742" t="b">
        <v>0</v>
      </c>
      <c r="AD742" s="2"/>
    </row>
    <row r="743" spans="1:30" x14ac:dyDescent="0.25">
      <c r="A743">
        <v>742</v>
      </c>
      <c r="B743" t="s">
        <v>25</v>
      </c>
      <c r="C743" s="3">
        <v>35669</v>
      </c>
      <c r="D743" s="2">
        <f ca="1">DATEDIF(gym_membership[[#This Row],[birthday]],TODAY(),"y")</f>
        <v>29</v>
      </c>
      <c r="E743">
        <v>27</v>
      </c>
      <c r="F743" t="s">
        <v>22</v>
      </c>
      <c r="G743">
        <v>1</v>
      </c>
      <c r="H743" t="s">
        <v>94</v>
      </c>
      <c r="I743" t="s">
        <v>94</v>
      </c>
      <c r="N743" t="b">
        <v>0</v>
      </c>
      <c r="O743" t="s">
        <v>21</v>
      </c>
      <c r="S743" s="1">
        <v>0.75138888888888888</v>
      </c>
      <c r="T743" s="1">
        <v>0.82361111111111107</v>
      </c>
      <c r="U743">
        <v>104</v>
      </c>
      <c r="V743" t="b">
        <v>1</v>
      </c>
      <c r="W743" t="s">
        <v>204</v>
      </c>
      <c r="X743" t="s">
        <v>39</v>
      </c>
      <c r="Y743" t="s">
        <v>51</v>
      </c>
      <c r="Z743" t="b">
        <v>0</v>
      </c>
      <c r="AA743" t="s">
        <v>456</v>
      </c>
      <c r="AB743" t="b">
        <v>0</v>
      </c>
      <c r="AD743" s="2"/>
    </row>
    <row r="744" spans="1:30" x14ac:dyDescent="0.25">
      <c r="A744">
        <v>743</v>
      </c>
      <c r="B744" t="s">
        <v>25</v>
      </c>
      <c r="C744" s="3">
        <v>33946</v>
      </c>
      <c r="D744" s="2">
        <f ca="1">DATEDIF(gym_membership[[#This Row],[birthday]],TODAY(),"y")</f>
        <v>33</v>
      </c>
      <c r="E744">
        <v>31</v>
      </c>
      <c r="F744" t="s">
        <v>22</v>
      </c>
      <c r="G744">
        <v>2</v>
      </c>
      <c r="H744" t="s">
        <v>111</v>
      </c>
      <c r="I744" t="s">
        <v>94</v>
      </c>
      <c r="J744" t="s">
        <v>95</v>
      </c>
      <c r="N744" t="b">
        <v>1</v>
      </c>
      <c r="O744" t="s">
        <v>91</v>
      </c>
      <c r="P744" t="s">
        <v>91</v>
      </c>
      <c r="S744" s="1">
        <v>0.85277777777777775</v>
      </c>
      <c r="T744" s="1">
        <v>0.8930555555555556</v>
      </c>
      <c r="U744">
        <v>58</v>
      </c>
      <c r="V744" t="b">
        <v>0</v>
      </c>
      <c r="W744" t="s">
        <v>21</v>
      </c>
      <c r="Z744" t="b">
        <v>1</v>
      </c>
      <c r="AA744" t="s">
        <v>29</v>
      </c>
      <c r="AB744" t="b">
        <v>0</v>
      </c>
      <c r="AD744" s="2"/>
    </row>
    <row r="745" spans="1:30" x14ac:dyDescent="0.25">
      <c r="A745">
        <v>744</v>
      </c>
      <c r="B745" t="s">
        <v>25</v>
      </c>
      <c r="C745" s="3">
        <v>38262</v>
      </c>
      <c r="D745" s="2">
        <f ca="1">DATEDIF(gym_membership[[#This Row],[birthday]],TODAY(),"y")</f>
        <v>21</v>
      </c>
      <c r="E745">
        <v>20</v>
      </c>
      <c r="F745" t="s">
        <v>18</v>
      </c>
      <c r="G745">
        <v>3</v>
      </c>
      <c r="H745" t="s">
        <v>185</v>
      </c>
      <c r="I745" t="s">
        <v>34</v>
      </c>
      <c r="J745" t="s">
        <v>95</v>
      </c>
      <c r="K745" t="s">
        <v>77</v>
      </c>
      <c r="N745" t="b">
        <v>1</v>
      </c>
      <c r="O745" t="s">
        <v>236</v>
      </c>
      <c r="P745" t="s">
        <v>103</v>
      </c>
      <c r="Q745" t="s">
        <v>58</v>
      </c>
      <c r="S745" s="1">
        <v>0.44583333333333336</v>
      </c>
      <c r="T745" s="1">
        <v>0.55069444444444449</v>
      </c>
      <c r="U745">
        <v>151</v>
      </c>
      <c r="V745" t="b">
        <v>1</v>
      </c>
      <c r="W745" t="s">
        <v>59</v>
      </c>
      <c r="X745" t="s">
        <v>59</v>
      </c>
      <c r="Z745" t="b">
        <v>1</v>
      </c>
      <c r="AA745" t="s">
        <v>29</v>
      </c>
      <c r="AB745" t="b">
        <v>0</v>
      </c>
      <c r="AD745" s="2"/>
    </row>
    <row r="746" spans="1:30" x14ac:dyDescent="0.25">
      <c r="A746">
        <v>745</v>
      </c>
      <c r="B746" t="s">
        <v>17</v>
      </c>
      <c r="C746" s="3">
        <v>40664</v>
      </c>
      <c r="D746" s="2">
        <f ca="1">DATEDIF(gym_membership[[#This Row],[birthday]],TODAY(),"y")</f>
        <v>15</v>
      </c>
      <c r="E746">
        <v>13</v>
      </c>
      <c r="F746" t="s">
        <v>22</v>
      </c>
      <c r="G746">
        <v>3</v>
      </c>
      <c r="H746" t="s">
        <v>165</v>
      </c>
      <c r="I746" t="s">
        <v>44</v>
      </c>
      <c r="J746" t="s">
        <v>26</v>
      </c>
      <c r="K746" t="s">
        <v>77</v>
      </c>
      <c r="N746" t="b">
        <v>1</v>
      </c>
      <c r="O746" t="s">
        <v>346</v>
      </c>
      <c r="P746" t="s">
        <v>96</v>
      </c>
      <c r="Q746" t="s">
        <v>91</v>
      </c>
      <c r="R746" t="s">
        <v>58</v>
      </c>
      <c r="S746" s="1">
        <v>0.56736111111111109</v>
      </c>
      <c r="T746" s="1">
        <v>0.58958333333333335</v>
      </c>
      <c r="U746">
        <v>32</v>
      </c>
      <c r="V746" t="b">
        <v>1</v>
      </c>
      <c r="W746" t="s">
        <v>31</v>
      </c>
      <c r="X746" t="s">
        <v>31</v>
      </c>
      <c r="Z746" t="b">
        <v>0</v>
      </c>
      <c r="AA746" t="s">
        <v>456</v>
      </c>
      <c r="AB746" t="b">
        <v>0</v>
      </c>
      <c r="AD746" s="2"/>
    </row>
    <row r="747" spans="1:30" x14ac:dyDescent="0.25">
      <c r="A747">
        <v>746</v>
      </c>
      <c r="B747" t="s">
        <v>25</v>
      </c>
      <c r="C747" s="3">
        <v>39295</v>
      </c>
      <c r="D747" s="2">
        <f ca="1">DATEDIF(gym_membership[[#This Row],[birthday]],TODAY(),"y")</f>
        <v>19</v>
      </c>
      <c r="E747">
        <v>17</v>
      </c>
      <c r="F747" t="s">
        <v>18</v>
      </c>
      <c r="G747">
        <v>2</v>
      </c>
      <c r="H747" t="s">
        <v>106</v>
      </c>
      <c r="I747" t="s">
        <v>26</v>
      </c>
      <c r="J747" t="s">
        <v>57</v>
      </c>
      <c r="N747" t="b">
        <v>1</v>
      </c>
      <c r="O747" t="s">
        <v>384</v>
      </c>
      <c r="P747" t="s">
        <v>58</v>
      </c>
      <c r="Q747" t="s">
        <v>41</v>
      </c>
      <c r="S747" s="1">
        <v>0.42291666666666666</v>
      </c>
      <c r="T747" s="1">
        <v>0.46180555555555558</v>
      </c>
      <c r="U747">
        <v>56</v>
      </c>
      <c r="V747" t="b">
        <v>0</v>
      </c>
      <c r="W747" t="s">
        <v>21</v>
      </c>
      <c r="Z747" t="b">
        <v>0</v>
      </c>
      <c r="AA747" t="s">
        <v>456</v>
      </c>
      <c r="AB747" t="b">
        <v>1</v>
      </c>
      <c r="AD747" s="2"/>
    </row>
    <row r="748" spans="1:30" x14ac:dyDescent="0.25">
      <c r="A748">
        <v>747</v>
      </c>
      <c r="B748" t="s">
        <v>25</v>
      </c>
      <c r="C748" s="3">
        <v>29519</v>
      </c>
      <c r="D748" s="2">
        <f ca="1">DATEDIF(gym_membership[[#This Row],[birthday]],TODAY(),"y")</f>
        <v>45</v>
      </c>
      <c r="E748">
        <v>43</v>
      </c>
      <c r="F748" t="s">
        <v>22</v>
      </c>
      <c r="G748">
        <v>2</v>
      </c>
      <c r="H748" t="s">
        <v>156</v>
      </c>
      <c r="I748" t="s">
        <v>44</v>
      </c>
      <c r="J748" t="s">
        <v>77</v>
      </c>
      <c r="N748" t="b">
        <v>0</v>
      </c>
      <c r="O748" t="s">
        <v>21</v>
      </c>
      <c r="S748" s="1">
        <v>0.54861111111111116</v>
      </c>
      <c r="T748" s="1">
        <v>0.60069444444444442</v>
      </c>
      <c r="U748">
        <v>75</v>
      </c>
      <c r="V748" t="b">
        <v>0</v>
      </c>
      <c r="W748" t="s">
        <v>21</v>
      </c>
      <c r="Z748" t="b">
        <v>1</v>
      </c>
      <c r="AA748" t="s">
        <v>29</v>
      </c>
      <c r="AB748" t="b">
        <v>1</v>
      </c>
      <c r="AD748" s="2"/>
    </row>
    <row r="749" spans="1:30" x14ac:dyDescent="0.25">
      <c r="A749">
        <v>748</v>
      </c>
      <c r="B749" t="s">
        <v>25</v>
      </c>
      <c r="C749" s="3">
        <v>29830</v>
      </c>
      <c r="D749" s="2">
        <f ca="1">DATEDIF(gym_membership[[#This Row],[birthday]],TODAY(),"y")</f>
        <v>44</v>
      </c>
      <c r="E749">
        <v>43</v>
      </c>
      <c r="F749" t="s">
        <v>18</v>
      </c>
      <c r="G749">
        <v>1</v>
      </c>
      <c r="H749" t="s">
        <v>26</v>
      </c>
      <c r="I749" t="s">
        <v>26</v>
      </c>
      <c r="N749" t="b">
        <v>0</v>
      </c>
      <c r="O749" t="s">
        <v>21</v>
      </c>
      <c r="S749" s="1">
        <v>0.82152777777777775</v>
      </c>
      <c r="T749" s="1">
        <v>0.85</v>
      </c>
      <c r="U749">
        <v>41</v>
      </c>
      <c r="V749" t="b">
        <v>0</v>
      </c>
      <c r="W749" t="s">
        <v>21</v>
      </c>
      <c r="Z749" t="b">
        <v>1</v>
      </c>
      <c r="AA749" t="s">
        <v>29</v>
      </c>
      <c r="AB749" t="b">
        <v>1</v>
      </c>
      <c r="AD749" s="2"/>
    </row>
    <row r="750" spans="1:30" x14ac:dyDescent="0.25">
      <c r="A750">
        <v>749</v>
      </c>
      <c r="B750" t="s">
        <v>17</v>
      </c>
      <c r="C750" s="3">
        <v>41111</v>
      </c>
      <c r="D750" s="2">
        <f ca="1">DATEDIF(gym_membership[[#This Row],[birthday]],TODAY(),"y")</f>
        <v>14</v>
      </c>
      <c r="E750">
        <v>12</v>
      </c>
      <c r="F750" t="s">
        <v>18</v>
      </c>
      <c r="G750">
        <v>2</v>
      </c>
      <c r="H750" t="s">
        <v>111</v>
      </c>
      <c r="I750" t="s">
        <v>94</v>
      </c>
      <c r="J750" t="s">
        <v>95</v>
      </c>
      <c r="N750" t="b">
        <v>1</v>
      </c>
      <c r="O750" t="s">
        <v>385</v>
      </c>
      <c r="P750" t="s">
        <v>67</v>
      </c>
      <c r="Q750" t="s">
        <v>120</v>
      </c>
      <c r="R750" t="s">
        <v>96</v>
      </c>
      <c r="S750" s="1">
        <v>0.44583333333333336</v>
      </c>
      <c r="T750" s="1">
        <v>0.5083333333333333</v>
      </c>
      <c r="U750">
        <v>90</v>
      </c>
      <c r="V750" t="b">
        <v>0</v>
      </c>
      <c r="W750" t="s">
        <v>21</v>
      </c>
      <c r="Z750" t="b">
        <v>0</v>
      </c>
      <c r="AA750" t="s">
        <v>456</v>
      </c>
      <c r="AB750" t="b">
        <v>0</v>
      </c>
      <c r="AD750" s="2"/>
    </row>
    <row r="751" spans="1:30" x14ac:dyDescent="0.25">
      <c r="A751">
        <v>750</v>
      </c>
      <c r="B751" t="s">
        <v>17</v>
      </c>
      <c r="C751" s="3">
        <v>27510</v>
      </c>
      <c r="D751" s="2">
        <f ca="1">DATEDIF(gym_membership[[#This Row],[birthday]],TODAY(),"y")</f>
        <v>51</v>
      </c>
      <c r="E751">
        <v>49</v>
      </c>
      <c r="F751" t="s">
        <v>22</v>
      </c>
      <c r="G751">
        <v>5</v>
      </c>
      <c r="H751" t="s">
        <v>211</v>
      </c>
      <c r="I751" t="s">
        <v>44</v>
      </c>
      <c r="J751" t="s">
        <v>34</v>
      </c>
      <c r="K751" t="s">
        <v>94</v>
      </c>
      <c r="L751" t="s">
        <v>57</v>
      </c>
      <c r="M751" t="s">
        <v>77</v>
      </c>
      <c r="N751" t="b">
        <v>1</v>
      </c>
      <c r="O751" t="s">
        <v>386</v>
      </c>
      <c r="P751" t="s">
        <v>96</v>
      </c>
      <c r="Q751" t="s">
        <v>41</v>
      </c>
      <c r="R751" t="s">
        <v>128</v>
      </c>
      <c r="S751" s="1">
        <v>0.43611111111111112</v>
      </c>
      <c r="T751" s="1">
        <v>0.47152777777777777</v>
      </c>
      <c r="U751">
        <v>51</v>
      </c>
      <c r="V751" t="b">
        <v>0</v>
      </c>
      <c r="W751" t="s">
        <v>21</v>
      </c>
      <c r="Z751" t="b">
        <v>0</v>
      </c>
      <c r="AA751" t="s">
        <v>456</v>
      </c>
      <c r="AB751" t="b">
        <v>0</v>
      </c>
      <c r="AD751" s="2"/>
    </row>
    <row r="752" spans="1:30" x14ac:dyDescent="0.25">
      <c r="A752">
        <v>751</v>
      </c>
      <c r="B752" t="s">
        <v>17</v>
      </c>
      <c r="C752" s="3">
        <v>33421</v>
      </c>
      <c r="D752" s="2">
        <f ca="1">DATEDIF(gym_membership[[#This Row],[birthday]],TODAY(),"y")</f>
        <v>35</v>
      </c>
      <c r="E752">
        <v>33</v>
      </c>
      <c r="F752" t="s">
        <v>22</v>
      </c>
      <c r="G752">
        <v>3</v>
      </c>
      <c r="H752" t="s">
        <v>210</v>
      </c>
      <c r="I752" t="s">
        <v>44</v>
      </c>
      <c r="J752" t="s">
        <v>34</v>
      </c>
      <c r="K752" t="s">
        <v>77</v>
      </c>
      <c r="N752" t="b">
        <v>1</v>
      </c>
      <c r="O752" t="s">
        <v>171</v>
      </c>
      <c r="P752" t="s">
        <v>100</v>
      </c>
      <c r="Q752" t="s">
        <v>120</v>
      </c>
      <c r="R752" t="s">
        <v>72</v>
      </c>
      <c r="S752" s="1">
        <v>0.5493055555555556</v>
      </c>
      <c r="T752" s="1">
        <v>0.66388888888888886</v>
      </c>
      <c r="U752">
        <v>165</v>
      </c>
      <c r="V752" t="b">
        <v>1</v>
      </c>
      <c r="W752" t="s">
        <v>65</v>
      </c>
      <c r="X752" t="s">
        <v>65</v>
      </c>
      <c r="Z752" t="b">
        <v>0</v>
      </c>
      <c r="AA752" t="s">
        <v>456</v>
      </c>
      <c r="AB752" t="b">
        <v>0</v>
      </c>
      <c r="AD752" s="2"/>
    </row>
    <row r="753" spans="1:30" x14ac:dyDescent="0.25">
      <c r="A753">
        <v>752</v>
      </c>
      <c r="B753" t="s">
        <v>17</v>
      </c>
      <c r="C753" s="3">
        <v>34551</v>
      </c>
      <c r="D753" s="2">
        <f ca="1">DATEDIF(gym_membership[[#This Row],[birthday]],TODAY(),"y")</f>
        <v>32</v>
      </c>
      <c r="E753">
        <v>30</v>
      </c>
      <c r="F753" t="s">
        <v>22</v>
      </c>
      <c r="G753">
        <v>3</v>
      </c>
      <c r="H753" t="s">
        <v>104</v>
      </c>
      <c r="I753" t="s">
        <v>44</v>
      </c>
      <c r="J753" t="s">
        <v>95</v>
      </c>
      <c r="K753" t="s">
        <v>57</v>
      </c>
      <c r="N753" t="b">
        <v>0</v>
      </c>
      <c r="O753" t="s">
        <v>21</v>
      </c>
      <c r="S753" s="1">
        <v>0.33680555555555558</v>
      </c>
      <c r="T753" s="1">
        <v>0.37916666666666665</v>
      </c>
      <c r="U753">
        <v>61</v>
      </c>
      <c r="V753" t="b">
        <v>1</v>
      </c>
      <c r="W753" t="s">
        <v>39</v>
      </c>
      <c r="X753" t="s">
        <v>39</v>
      </c>
      <c r="Z753" t="b">
        <v>1</v>
      </c>
      <c r="AA753" t="s">
        <v>43</v>
      </c>
      <c r="AB753" t="b">
        <v>0</v>
      </c>
      <c r="AD753" s="2"/>
    </row>
    <row r="754" spans="1:30" x14ac:dyDescent="0.25">
      <c r="A754">
        <v>753</v>
      </c>
      <c r="B754" t="s">
        <v>17</v>
      </c>
      <c r="C754" s="3">
        <v>35002</v>
      </c>
      <c r="D754" s="2">
        <f ca="1">DATEDIF(gym_membership[[#This Row],[birthday]],TODAY(),"y")</f>
        <v>30</v>
      </c>
      <c r="E754">
        <v>28</v>
      </c>
      <c r="F754" t="s">
        <v>18</v>
      </c>
      <c r="G754">
        <v>3</v>
      </c>
      <c r="H754" t="s">
        <v>78</v>
      </c>
      <c r="I754" t="s">
        <v>44</v>
      </c>
      <c r="J754" t="s">
        <v>34</v>
      </c>
      <c r="K754" t="s">
        <v>95</v>
      </c>
      <c r="N754" t="b">
        <v>0</v>
      </c>
      <c r="O754" t="s">
        <v>21</v>
      </c>
      <c r="S754" s="1">
        <v>0.42430555555555555</v>
      </c>
      <c r="T754" s="1">
        <v>0.5180555555555556</v>
      </c>
      <c r="U754">
        <v>135</v>
      </c>
      <c r="V754" t="b">
        <v>1</v>
      </c>
      <c r="W754" t="s">
        <v>217</v>
      </c>
      <c r="X754" t="s">
        <v>76</v>
      </c>
      <c r="Y754" t="s">
        <v>59</v>
      </c>
      <c r="Z754" t="b">
        <v>0</v>
      </c>
      <c r="AA754" t="s">
        <v>456</v>
      </c>
      <c r="AB754" t="b">
        <v>1</v>
      </c>
      <c r="AD754" s="2"/>
    </row>
    <row r="755" spans="1:30" x14ac:dyDescent="0.25">
      <c r="A755">
        <v>754</v>
      </c>
      <c r="B755" t="s">
        <v>17</v>
      </c>
      <c r="C755" s="3">
        <v>33216</v>
      </c>
      <c r="D755" s="2">
        <f ca="1">DATEDIF(gym_membership[[#This Row],[birthday]],TODAY(),"y")</f>
        <v>35</v>
      </c>
      <c r="E755">
        <v>33</v>
      </c>
      <c r="F755" t="s">
        <v>22</v>
      </c>
      <c r="G755">
        <v>3</v>
      </c>
      <c r="H755" t="s">
        <v>55</v>
      </c>
      <c r="I755" t="s">
        <v>44</v>
      </c>
      <c r="J755" t="s">
        <v>26</v>
      </c>
      <c r="K755" t="s">
        <v>94</v>
      </c>
      <c r="N755" t="b">
        <v>0</v>
      </c>
      <c r="O755" t="s">
        <v>21</v>
      </c>
      <c r="S755" s="1">
        <v>0.63402777777777775</v>
      </c>
      <c r="T755" s="1">
        <v>0.69861111111111107</v>
      </c>
      <c r="U755">
        <v>93</v>
      </c>
      <c r="V755" t="b">
        <v>0</v>
      </c>
      <c r="W755" t="s">
        <v>21</v>
      </c>
      <c r="Z755" t="b">
        <v>1</v>
      </c>
      <c r="AA755" t="s">
        <v>24</v>
      </c>
      <c r="AB755" t="b">
        <v>1</v>
      </c>
      <c r="AD755" s="2"/>
    </row>
    <row r="756" spans="1:30" x14ac:dyDescent="0.25">
      <c r="A756">
        <v>755</v>
      </c>
      <c r="B756" t="s">
        <v>17</v>
      </c>
      <c r="C756" s="3">
        <v>39576</v>
      </c>
      <c r="D756" s="2">
        <f ca="1">DATEDIF(gym_membership[[#This Row],[birthday]],TODAY(),"y")</f>
        <v>18</v>
      </c>
      <c r="E756">
        <v>16</v>
      </c>
      <c r="F756" t="s">
        <v>22</v>
      </c>
      <c r="G756">
        <v>3</v>
      </c>
      <c r="H756" t="s">
        <v>30</v>
      </c>
      <c r="I756" t="s">
        <v>26</v>
      </c>
      <c r="J756" t="s">
        <v>57</v>
      </c>
      <c r="K756" t="s">
        <v>77</v>
      </c>
      <c r="N756" t="b">
        <v>0</v>
      </c>
      <c r="O756" t="s">
        <v>21</v>
      </c>
      <c r="S756" s="1">
        <v>0.77708333333333335</v>
      </c>
      <c r="T756" s="1">
        <v>0.87083333333333335</v>
      </c>
      <c r="U756">
        <v>135</v>
      </c>
      <c r="V756" t="b">
        <v>0</v>
      </c>
      <c r="W756" t="s">
        <v>21</v>
      </c>
      <c r="Z756" t="b">
        <v>0</v>
      </c>
      <c r="AA756" t="s">
        <v>456</v>
      </c>
      <c r="AB756" t="b">
        <v>0</v>
      </c>
      <c r="AD756" s="2"/>
    </row>
    <row r="757" spans="1:30" x14ac:dyDescent="0.25">
      <c r="A757">
        <v>756</v>
      </c>
      <c r="B757" t="s">
        <v>25</v>
      </c>
      <c r="C757" s="3">
        <v>30445</v>
      </c>
      <c r="D757" s="2">
        <f ca="1">DATEDIF(gym_membership[[#This Row],[birthday]],TODAY(),"y")</f>
        <v>43</v>
      </c>
      <c r="E757">
        <v>41</v>
      </c>
      <c r="F757" t="s">
        <v>18</v>
      </c>
      <c r="G757">
        <v>1</v>
      </c>
      <c r="H757" t="s">
        <v>77</v>
      </c>
      <c r="I757" t="s">
        <v>77</v>
      </c>
      <c r="N757" t="b">
        <v>1</v>
      </c>
      <c r="O757" t="s">
        <v>96</v>
      </c>
      <c r="P757" t="s">
        <v>96</v>
      </c>
      <c r="S757" s="1">
        <v>0.80763888888888891</v>
      </c>
      <c r="T757" s="1">
        <v>0.8520833333333333</v>
      </c>
      <c r="U757">
        <v>64</v>
      </c>
      <c r="V757" t="b">
        <v>0</v>
      </c>
      <c r="W757" t="s">
        <v>21</v>
      </c>
      <c r="Z757" t="b">
        <v>0</v>
      </c>
      <c r="AA757" t="s">
        <v>456</v>
      </c>
      <c r="AB757" t="b">
        <v>0</v>
      </c>
      <c r="AD757" s="2"/>
    </row>
    <row r="758" spans="1:30" x14ac:dyDescent="0.25">
      <c r="A758">
        <v>757</v>
      </c>
      <c r="B758" t="s">
        <v>25</v>
      </c>
      <c r="C758" s="3">
        <v>37985</v>
      </c>
      <c r="D758" s="2">
        <f ca="1">DATEDIF(gym_membership[[#This Row],[birthday]],TODAY(),"y")</f>
        <v>22</v>
      </c>
      <c r="E758">
        <v>20</v>
      </c>
      <c r="F758" t="s">
        <v>18</v>
      </c>
      <c r="G758">
        <v>1</v>
      </c>
      <c r="H758" t="s">
        <v>94</v>
      </c>
      <c r="I758" t="s">
        <v>94</v>
      </c>
      <c r="N758" t="b">
        <v>0</v>
      </c>
      <c r="O758" t="s">
        <v>21</v>
      </c>
      <c r="S758" s="1">
        <v>0.47430555555555554</v>
      </c>
      <c r="T758" s="1">
        <v>0.58402777777777781</v>
      </c>
      <c r="U758">
        <v>158</v>
      </c>
      <c r="V758" t="b">
        <v>1</v>
      </c>
      <c r="W758" t="s">
        <v>39</v>
      </c>
      <c r="X758" t="s">
        <v>39</v>
      </c>
      <c r="Z758" t="b">
        <v>0</v>
      </c>
      <c r="AA758" t="s">
        <v>456</v>
      </c>
      <c r="AB758" t="b">
        <v>1</v>
      </c>
      <c r="AD758" s="2"/>
    </row>
    <row r="759" spans="1:30" x14ac:dyDescent="0.25">
      <c r="A759">
        <v>758</v>
      </c>
      <c r="B759" t="s">
        <v>17</v>
      </c>
      <c r="C759" s="3">
        <v>35739</v>
      </c>
      <c r="D759" s="2">
        <f ca="1">DATEDIF(gym_membership[[#This Row],[birthday]],TODAY(),"y")</f>
        <v>28</v>
      </c>
      <c r="E759">
        <v>26</v>
      </c>
      <c r="F759" t="s">
        <v>22</v>
      </c>
      <c r="G759">
        <v>5</v>
      </c>
      <c r="H759" t="s">
        <v>159</v>
      </c>
      <c r="I759" t="s">
        <v>26</v>
      </c>
      <c r="J759" t="s">
        <v>94</v>
      </c>
      <c r="K759" t="s">
        <v>95</v>
      </c>
      <c r="L759" t="s">
        <v>57</v>
      </c>
      <c r="M759" t="s">
        <v>77</v>
      </c>
      <c r="N759" t="b">
        <v>0</v>
      </c>
      <c r="O759" t="s">
        <v>21</v>
      </c>
      <c r="S759" s="1">
        <v>0.63611111111111107</v>
      </c>
      <c r="T759" s="1">
        <v>0.72222222222222221</v>
      </c>
      <c r="U759">
        <v>124</v>
      </c>
      <c r="V759" t="b">
        <v>0</v>
      </c>
      <c r="W759" t="s">
        <v>21</v>
      </c>
      <c r="Z759" t="b">
        <v>1</v>
      </c>
      <c r="AA759" t="s">
        <v>43</v>
      </c>
      <c r="AB759" t="b">
        <v>0</v>
      </c>
      <c r="AD759" s="2"/>
    </row>
    <row r="760" spans="1:30" x14ac:dyDescent="0.25">
      <c r="A760">
        <v>759</v>
      </c>
      <c r="B760" t="s">
        <v>25</v>
      </c>
      <c r="C760" s="3">
        <v>38574</v>
      </c>
      <c r="D760" s="2">
        <f ca="1">DATEDIF(gym_membership[[#This Row],[birthday]],TODAY(),"y")</f>
        <v>21</v>
      </c>
      <c r="E760">
        <v>19</v>
      </c>
      <c r="F760" t="s">
        <v>22</v>
      </c>
      <c r="G760">
        <v>3</v>
      </c>
      <c r="H760" t="s">
        <v>56</v>
      </c>
      <c r="I760" t="s">
        <v>26</v>
      </c>
      <c r="J760" t="s">
        <v>95</v>
      </c>
      <c r="K760" t="s">
        <v>57</v>
      </c>
      <c r="N760" t="b">
        <v>1</v>
      </c>
      <c r="O760" t="s">
        <v>387</v>
      </c>
      <c r="P760" t="s">
        <v>120</v>
      </c>
      <c r="Q760" t="s">
        <v>72</v>
      </c>
      <c r="R760" t="s">
        <v>91</v>
      </c>
      <c r="S760" s="1">
        <v>0.55486111111111114</v>
      </c>
      <c r="T760" s="1">
        <v>0.61388888888888893</v>
      </c>
      <c r="U760">
        <v>85</v>
      </c>
      <c r="V760" t="b">
        <v>1</v>
      </c>
      <c r="W760" t="s">
        <v>65</v>
      </c>
      <c r="X760" t="s">
        <v>65</v>
      </c>
      <c r="Z760" t="b">
        <v>0</v>
      </c>
      <c r="AA760" t="s">
        <v>456</v>
      </c>
      <c r="AB760" t="b">
        <v>0</v>
      </c>
      <c r="AD760" s="2"/>
    </row>
    <row r="761" spans="1:30" x14ac:dyDescent="0.25">
      <c r="A761">
        <v>760</v>
      </c>
      <c r="B761" t="s">
        <v>25</v>
      </c>
      <c r="C761" s="3">
        <v>29721</v>
      </c>
      <c r="D761" s="2">
        <f ca="1">DATEDIF(gym_membership[[#This Row],[birthday]],TODAY(),"y")</f>
        <v>45</v>
      </c>
      <c r="E761">
        <v>43</v>
      </c>
      <c r="F761" t="s">
        <v>18</v>
      </c>
      <c r="G761">
        <v>5</v>
      </c>
      <c r="H761" t="s">
        <v>168</v>
      </c>
      <c r="I761" t="s">
        <v>44</v>
      </c>
      <c r="J761" t="s">
        <v>34</v>
      </c>
      <c r="K761" t="s">
        <v>26</v>
      </c>
      <c r="L761" t="s">
        <v>95</v>
      </c>
      <c r="M761" t="s">
        <v>77</v>
      </c>
      <c r="N761" t="b">
        <v>1</v>
      </c>
      <c r="O761" t="s">
        <v>256</v>
      </c>
      <c r="P761" t="s">
        <v>27</v>
      </c>
      <c r="Q761" t="s">
        <v>100</v>
      </c>
      <c r="R761" t="s">
        <v>41</v>
      </c>
      <c r="S761" s="1">
        <v>0.39513888888888887</v>
      </c>
      <c r="T761" s="1">
        <v>0.50347222222222221</v>
      </c>
      <c r="U761">
        <v>156</v>
      </c>
      <c r="V761" t="b">
        <v>0</v>
      </c>
      <c r="W761" t="s">
        <v>21</v>
      </c>
      <c r="Z761" t="b">
        <v>1</v>
      </c>
      <c r="AA761" t="s">
        <v>24</v>
      </c>
      <c r="AB761" t="b">
        <v>1</v>
      </c>
      <c r="AD761" s="2"/>
    </row>
    <row r="762" spans="1:30" x14ac:dyDescent="0.25">
      <c r="A762">
        <v>761</v>
      </c>
      <c r="B762" t="s">
        <v>25</v>
      </c>
      <c r="C762" s="3">
        <v>30548</v>
      </c>
      <c r="D762" s="2">
        <f ca="1">DATEDIF(gym_membership[[#This Row],[birthday]],TODAY(),"y")</f>
        <v>43</v>
      </c>
      <c r="E762">
        <v>41</v>
      </c>
      <c r="F762" t="s">
        <v>22</v>
      </c>
      <c r="G762">
        <v>1</v>
      </c>
      <c r="H762" t="s">
        <v>94</v>
      </c>
      <c r="I762" t="s">
        <v>94</v>
      </c>
      <c r="N762" t="b">
        <v>1</v>
      </c>
      <c r="O762" t="s">
        <v>103</v>
      </c>
      <c r="P762" t="s">
        <v>103</v>
      </c>
      <c r="S762" s="1">
        <v>0.57013888888888886</v>
      </c>
      <c r="T762" s="1">
        <v>0.67847222222222225</v>
      </c>
      <c r="U762">
        <v>156</v>
      </c>
      <c r="V762" t="b">
        <v>1</v>
      </c>
      <c r="W762" t="s">
        <v>31</v>
      </c>
      <c r="X762" t="s">
        <v>31</v>
      </c>
      <c r="Z762" t="b">
        <v>1</v>
      </c>
      <c r="AA762" t="s">
        <v>29</v>
      </c>
      <c r="AB762" t="b">
        <v>0</v>
      </c>
      <c r="AD762" s="2"/>
    </row>
    <row r="763" spans="1:30" x14ac:dyDescent="0.25">
      <c r="A763">
        <v>762</v>
      </c>
      <c r="B763" t="s">
        <v>17</v>
      </c>
      <c r="C763" s="3">
        <v>37248</v>
      </c>
      <c r="D763" s="2">
        <f ca="1">DATEDIF(gym_membership[[#This Row],[birthday]],TODAY(),"y")</f>
        <v>24</v>
      </c>
      <c r="E763">
        <v>22</v>
      </c>
      <c r="F763" t="s">
        <v>22</v>
      </c>
      <c r="G763">
        <v>2</v>
      </c>
      <c r="H763" t="s">
        <v>37</v>
      </c>
      <c r="I763" t="s">
        <v>34</v>
      </c>
      <c r="J763" t="s">
        <v>77</v>
      </c>
      <c r="N763" t="b">
        <v>1</v>
      </c>
      <c r="O763" t="s">
        <v>91</v>
      </c>
      <c r="P763" t="s">
        <v>91</v>
      </c>
      <c r="S763" s="1">
        <v>0.50902777777777775</v>
      </c>
      <c r="T763" s="1">
        <v>0.58888888888888891</v>
      </c>
      <c r="U763">
        <v>115</v>
      </c>
      <c r="V763" t="b">
        <v>1</v>
      </c>
      <c r="W763" t="s">
        <v>76</v>
      </c>
      <c r="X763" t="s">
        <v>76</v>
      </c>
      <c r="Z763" t="b">
        <v>0</v>
      </c>
      <c r="AA763" t="s">
        <v>456</v>
      </c>
      <c r="AB763" t="b">
        <v>0</v>
      </c>
      <c r="AD763" s="2"/>
    </row>
    <row r="764" spans="1:30" x14ac:dyDescent="0.25">
      <c r="A764">
        <v>763</v>
      </c>
      <c r="B764" t="s">
        <v>17</v>
      </c>
      <c r="C764" s="3">
        <v>28816</v>
      </c>
      <c r="D764" s="2">
        <f ca="1">DATEDIF(gym_membership[[#This Row],[birthday]],TODAY(),"y")</f>
        <v>47</v>
      </c>
      <c r="E764">
        <v>45</v>
      </c>
      <c r="F764" t="s">
        <v>18</v>
      </c>
      <c r="G764">
        <v>3</v>
      </c>
      <c r="H764" t="s">
        <v>210</v>
      </c>
      <c r="I764" t="s">
        <v>44</v>
      </c>
      <c r="J764" t="s">
        <v>34</v>
      </c>
      <c r="K764" t="s">
        <v>77</v>
      </c>
      <c r="N764" t="b">
        <v>1</v>
      </c>
      <c r="O764" t="s">
        <v>284</v>
      </c>
      <c r="P764" t="s">
        <v>91</v>
      </c>
      <c r="Q764" t="s">
        <v>120</v>
      </c>
      <c r="S764" s="1">
        <v>0.65208333333333335</v>
      </c>
      <c r="T764" s="1">
        <v>0.7319444444444444</v>
      </c>
      <c r="U764">
        <v>115</v>
      </c>
      <c r="V764" t="b">
        <v>1</v>
      </c>
      <c r="W764" t="s">
        <v>241</v>
      </c>
      <c r="X764" t="s">
        <v>39</v>
      </c>
      <c r="Y764" t="s">
        <v>59</v>
      </c>
      <c r="Z764" t="b">
        <v>1</v>
      </c>
      <c r="AA764" t="s">
        <v>29</v>
      </c>
      <c r="AB764" t="b">
        <v>1</v>
      </c>
      <c r="AD764" s="2"/>
    </row>
    <row r="765" spans="1:30" x14ac:dyDescent="0.25">
      <c r="A765">
        <v>764</v>
      </c>
      <c r="B765" t="s">
        <v>25</v>
      </c>
      <c r="C765" s="3">
        <v>40108</v>
      </c>
      <c r="D765" s="2">
        <f ca="1">DATEDIF(gym_membership[[#This Row],[birthday]],TODAY(),"y")</f>
        <v>16</v>
      </c>
      <c r="E765">
        <v>14</v>
      </c>
      <c r="F765" t="s">
        <v>18</v>
      </c>
      <c r="G765">
        <v>5</v>
      </c>
      <c r="H765" t="s">
        <v>131</v>
      </c>
      <c r="I765" t="s">
        <v>44</v>
      </c>
      <c r="J765" t="s">
        <v>34</v>
      </c>
      <c r="K765" t="s">
        <v>26</v>
      </c>
      <c r="L765" t="s">
        <v>94</v>
      </c>
      <c r="M765" t="s">
        <v>57</v>
      </c>
      <c r="N765" t="b">
        <v>1</v>
      </c>
      <c r="O765" t="s">
        <v>388</v>
      </c>
      <c r="P765" t="s">
        <v>27</v>
      </c>
      <c r="Q765" t="s">
        <v>120</v>
      </c>
      <c r="R765" t="s">
        <v>103</v>
      </c>
      <c r="S765" s="1">
        <v>0.34027777777777779</v>
      </c>
      <c r="T765" s="1">
        <v>0.43611111111111112</v>
      </c>
      <c r="U765">
        <v>138</v>
      </c>
      <c r="V765" t="b">
        <v>1</v>
      </c>
      <c r="W765" t="s">
        <v>130</v>
      </c>
      <c r="X765" t="s">
        <v>76</v>
      </c>
      <c r="Y765" t="s">
        <v>39</v>
      </c>
      <c r="Z765" t="b">
        <v>0</v>
      </c>
      <c r="AA765" t="s">
        <v>456</v>
      </c>
      <c r="AB765" t="b">
        <v>0</v>
      </c>
      <c r="AD765" s="2"/>
    </row>
    <row r="766" spans="1:30" x14ac:dyDescent="0.25">
      <c r="A766">
        <v>765</v>
      </c>
      <c r="B766" t="s">
        <v>25</v>
      </c>
      <c r="C766" s="3">
        <v>35743</v>
      </c>
      <c r="D766" s="2">
        <f ca="1">DATEDIF(gym_membership[[#This Row],[birthday]],TODAY(),"y")</f>
        <v>28</v>
      </c>
      <c r="E766">
        <v>26</v>
      </c>
      <c r="F766" t="s">
        <v>22</v>
      </c>
      <c r="G766">
        <v>1</v>
      </c>
      <c r="H766" t="s">
        <v>95</v>
      </c>
      <c r="I766" t="s">
        <v>95</v>
      </c>
      <c r="N766" t="b">
        <v>0</v>
      </c>
      <c r="O766" t="s">
        <v>21</v>
      </c>
      <c r="S766" s="1">
        <v>0.59791666666666665</v>
      </c>
      <c r="T766" s="1">
        <v>0.72013888888888888</v>
      </c>
      <c r="U766">
        <v>176</v>
      </c>
      <c r="V766" t="b">
        <v>1</v>
      </c>
      <c r="W766" t="s">
        <v>59</v>
      </c>
      <c r="X766" t="s">
        <v>59</v>
      </c>
      <c r="Z766" t="b">
        <v>0</v>
      </c>
      <c r="AA766" t="s">
        <v>456</v>
      </c>
      <c r="AB766" t="b">
        <v>0</v>
      </c>
      <c r="AD766" s="2"/>
    </row>
    <row r="767" spans="1:30" x14ac:dyDescent="0.25">
      <c r="A767">
        <v>766</v>
      </c>
      <c r="B767" t="s">
        <v>17</v>
      </c>
      <c r="C767" s="3">
        <v>28566</v>
      </c>
      <c r="D767" s="2">
        <f ca="1">DATEDIF(gym_membership[[#This Row],[birthday]],TODAY(),"y")</f>
        <v>48</v>
      </c>
      <c r="E767">
        <v>46</v>
      </c>
      <c r="F767" t="s">
        <v>18</v>
      </c>
      <c r="G767">
        <v>1</v>
      </c>
      <c r="H767" t="s">
        <v>95</v>
      </c>
      <c r="I767" t="s">
        <v>95</v>
      </c>
      <c r="N767" t="b">
        <v>1</v>
      </c>
      <c r="O767" t="s">
        <v>224</v>
      </c>
      <c r="P767" t="s">
        <v>120</v>
      </c>
      <c r="Q767" t="s">
        <v>128</v>
      </c>
      <c r="S767" s="1">
        <v>0.61388888888888893</v>
      </c>
      <c r="T767" s="1">
        <v>0.70694444444444449</v>
      </c>
      <c r="U767">
        <v>134</v>
      </c>
      <c r="V767" t="b">
        <v>0</v>
      </c>
      <c r="W767" t="s">
        <v>21</v>
      </c>
      <c r="Z767" t="b">
        <v>1</v>
      </c>
      <c r="AA767" t="s">
        <v>24</v>
      </c>
      <c r="AB767" t="b">
        <v>0</v>
      </c>
      <c r="AD767" s="2"/>
    </row>
    <row r="768" spans="1:30" x14ac:dyDescent="0.25">
      <c r="A768">
        <v>767</v>
      </c>
      <c r="B768" t="s">
        <v>25</v>
      </c>
      <c r="C768" s="3">
        <v>32702</v>
      </c>
      <c r="D768" s="2">
        <f ca="1">DATEDIF(gym_membership[[#This Row],[birthday]],TODAY(),"y")</f>
        <v>37</v>
      </c>
      <c r="E768">
        <v>35</v>
      </c>
      <c r="F768" t="s">
        <v>18</v>
      </c>
      <c r="G768">
        <v>5</v>
      </c>
      <c r="H768" t="s">
        <v>159</v>
      </c>
      <c r="I768" t="s">
        <v>26</v>
      </c>
      <c r="J768" t="s">
        <v>94</v>
      </c>
      <c r="K768" t="s">
        <v>95</v>
      </c>
      <c r="L768" t="s">
        <v>57</v>
      </c>
      <c r="M768" t="s">
        <v>77</v>
      </c>
      <c r="N768" t="b">
        <v>0</v>
      </c>
      <c r="O768" t="s">
        <v>21</v>
      </c>
      <c r="S768" s="1">
        <v>0.54652777777777772</v>
      </c>
      <c r="T768" s="1">
        <v>0.62291666666666667</v>
      </c>
      <c r="U768">
        <v>110</v>
      </c>
      <c r="V768" t="b">
        <v>1</v>
      </c>
      <c r="W768" t="s">
        <v>90</v>
      </c>
      <c r="X768" t="s">
        <v>39</v>
      </c>
      <c r="Y768" t="s">
        <v>76</v>
      </c>
      <c r="Z768" t="b">
        <v>1</v>
      </c>
      <c r="AA768" t="s">
        <v>24</v>
      </c>
      <c r="AB768" t="b">
        <v>0</v>
      </c>
      <c r="AD768" s="2"/>
    </row>
    <row r="769" spans="1:30" x14ac:dyDescent="0.25">
      <c r="A769">
        <v>768</v>
      </c>
      <c r="B769" t="s">
        <v>25</v>
      </c>
      <c r="C769" s="3">
        <v>38689</v>
      </c>
      <c r="D769" s="2">
        <f ca="1">DATEDIF(gym_membership[[#This Row],[birthday]],TODAY(),"y")</f>
        <v>20</v>
      </c>
      <c r="E769">
        <v>18</v>
      </c>
      <c r="F769" t="s">
        <v>22</v>
      </c>
      <c r="G769">
        <v>2</v>
      </c>
      <c r="H769" t="s">
        <v>48</v>
      </c>
      <c r="I769" t="s">
        <v>94</v>
      </c>
      <c r="J769" t="s">
        <v>77</v>
      </c>
      <c r="N769" t="b">
        <v>0</v>
      </c>
      <c r="O769" t="s">
        <v>21</v>
      </c>
      <c r="S769" s="1">
        <v>0.59444444444444444</v>
      </c>
      <c r="T769" s="1">
        <v>0.70625000000000004</v>
      </c>
      <c r="U769">
        <v>161</v>
      </c>
      <c r="V769" t="b">
        <v>1</v>
      </c>
      <c r="W769" t="s">
        <v>80</v>
      </c>
      <c r="X769" t="s">
        <v>59</v>
      </c>
      <c r="Y769" t="s">
        <v>39</v>
      </c>
      <c r="Z769" t="b">
        <v>1</v>
      </c>
      <c r="AA769" t="s">
        <v>43</v>
      </c>
      <c r="AB769" t="b">
        <v>0</v>
      </c>
      <c r="AD769" s="2"/>
    </row>
    <row r="770" spans="1:30" x14ac:dyDescent="0.25">
      <c r="A770">
        <v>769</v>
      </c>
      <c r="B770" t="s">
        <v>17</v>
      </c>
      <c r="C770" s="3">
        <v>34911</v>
      </c>
      <c r="D770" s="2">
        <f ca="1">DATEDIF(gym_membership[[#This Row],[birthday]],TODAY(),"y")</f>
        <v>31</v>
      </c>
      <c r="E770">
        <v>29</v>
      </c>
      <c r="F770" t="s">
        <v>22</v>
      </c>
      <c r="G770">
        <v>4</v>
      </c>
      <c r="H770" t="s">
        <v>247</v>
      </c>
      <c r="I770" t="s">
        <v>44</v>
      </c>
      <c r="J770" t="s">
        <v>94</v>
      </c>
      <c r="K770" t="s">
        <v>95</v>
      </c>
      <c r="L770" t="s">
        <v>77</v>
      </c>
      <c r="N770" t="b">
        <v>1</v>
      </c>
      <c r="O770" t="s">
        <v>157</v>
      </c>
      <c r="P770" t="s">
        <v>67</v>
      </c>
      <c r="Q770" t="s">
        <v>91</v>
      </c>
      <c r="S770" s="1">
        <v>0.55902777777777779</v>
      </c>
      <c r="T770" s="1">
        <v>0.67986111111111114</v>
      </c>
      <c r="U770">
        <v>174</v>
      </c>
      <c r="V770" t="b">
        <v>1</v>
      </c>
      <c r="W770" t="s">
        <v>65</v>
      </c>
      <c r="X770" t="s">
        <v>65</v>
      </c>
      <c r="Z770" t="b">
        <v>0</v>
      </c>
      <c r="AA770" t="s">
        <v>456</v>
      </c>
      <c r="AB770" t="b">
        <v>1</v>
      </c>
      <c r="AD770" s="2"/>
    </row>
    <row r="771" spans="1:30" x14ac:dyDescent="0.25">
      <c r="A771">
        <v>770</v>
      </c>
      <c r="B771" t="s">
        <v>25</v>
      </c>
      <c r="C771" s="3">
        <v>35674</v>
      </c>
      <c r="D771" s="2">
        <f ca="1">DATEDIF(gym_membership[[#This Row],[birthday]],TODAY(),"y")</f>
        <v>28</v>
      </c>
      <c r="E771">
        <v>27</v>
      </c>
      <c r="F771" t="s">
        <v>18</v>
      </c>
      <c r="G771">
        <v>2</v>
      </c>
      <c r="H771" t="s">
        <v>132</v>
      </c>
      <c r="I771" t="s">
        <v>44</v>
      </c>
      <c r="J771" t="s">
        <v>94</v>
      </c>
      <c r="N771" t="b">
        <v>0</v>
      </c>
      <c r="O771" t="s">
        <v>21</v>
      </c>
      <c r="S771" s="1">
        <v>0.72361111111111109</v>
      </c>
      <c r="T771" s="1">
        <v>0.78472222222222221</v>
      </c>
      <c r="U771">
        <v>88</v>
      </c>
      <c r="V771" t="b">
        <v>1</v>
      </c>
      <c r="W771" t="s">
        <v>241</v>
      </c>
      <c r="X771" t="s">
        <v>39</v>
      </c>
      <c r="Y771" t="s">
        <v>59</v>
      </c>
      <c r="Z771" t="b">
        <v>1</v>
      </c>
      <c r="AA771" t="s">
        <v>24</v>
      </c>
      <c r="AB771" t="b">
        <v>0</v>
      </c>
      <c r="AD771" s="2"/>
    </row>
    <row r="772" spans="1:30" x14ac:dyDescent="0.25">
      <c r="A772">
        <v>771</v>
      </c>
      <c r="B772" t="s">
        <v>17</v>
      </c>
      <c r="C772" s="3">
        <v>32321</v>
      </c>
      <c r="D772" s="2">
        <f ca="1">DATEDIF(gym_membership[[#This Row],[birthday]],TODAY(),"y")</f>
        <v>38</v>
      </c>
      <c r="E772">
        <v>36</v>
      </c>
      <c r="F772" t="s">
        <v>18</v>
      </c>
      <c r="G772">
        <v>1</v>
      </c>
      <c r="H772" t="s">
        <v>77</v>
      </c>
      <c r="I772" t="s">
        <v>77</v>
      </c>
      <c r="N772" t="b">
        <v>0</v>
      </c>
      <c r="O772" t="s">
        <v>21</v>
      </c>
      <c r="S772" s="1">
        <v>0.83333333333333337</v>
      </c>
      <c r="T772" s="1">
        <v>0.90902777777777777</v>
      </c>
      <c r="U772">
        <v>109</v>
      </c>
      <c r="V772" t="b">
        <v>0</v>
      </c>
      <c r="W772" t="s">
        <v>21</v>
      </c>
      <c r="Z772" t="b">
        <v>1</v>
      </c>
      <c r="AA772" t="s">
        <v>29</v>
      </c>
      <c r="AB772" t="b">
        <v>1</v>
      </c>
      <c r="AD772" s="2"/>
    </row>
    <row r="773" spans="1:30" x14ac:dyDescent="0.25">
      <c r="A773">
        <v>772</v>
      </c>
      <c r="B773" t="s">
        <v>17</v>
      </c>
      <c r="C773" s="3">
        <v>34729</v>
      </c>
      <c r="D773" s="2">
        <f ca="1">DATEDIF(gym_membership[[#This Row],[birthday]],TODAY(),"y")</f>
        <v>31</v>
      </c>
      <c r="E773">
        <v>29</v>
      </c>
      <c r="F773" t="s">
        <v>22</v>
      </c>
      <c r="G773">
        <v>2</v>
      </c>
      <c r="H773" t="s">
        <v>119</v>
      </c>
      <c r="I773" t="s">
        <v>44</v>
      </c>
      <c r="J773" t="s">
        <v>57</v>
      </c>
      <c r="N773" t="b">
        <v>0</v>
      </c>
      <c r="O773" t="s">
        <v>21</v>
      </c>
      <c r="S773" s="1">
        <v>0.86944444444444446</v>
      </c>
      <c r="T773" s="1">
        <v>0.94444444444444442</v>
      </c>
      <c r="U773">
        <v>108</v>
      </c>
      <c r="V773" t="b">
        <v>0</v>
      </c>
      <c r="W773" t="s">
        <v>21</v>
      </c>
      <c r="Z773" t="b">
        <v>1</v>
      </c>
      <c r="AA773" t="s">
        <v>24</v>
      </c>
      <c r="AB773" t="b">
        <v>0</v>
      </c>
      <c r="AD773" s="2"/>
    </row>
    <row r="774" spans="1:30" x14ac:dyDescent="0.25">
      <c r="A774">
        <v>773</v>
      </c>
      <c r="B774" t="s">
        <v>25</v>
      </c>
      <c r="C774" s="3">
        <v>32320</v>
      </c>
      <c r="D774" s="2">
        <f ca="1">DATEDIF(gym_membership[[#This Row],[birthday]],TODAY(),"y")</f>
        <v>38</v>
      </c>
      <c r="E774">
        <v>36</v>
      </c>
      <c r="F774" t="s">
        <v>22</v>
      </c>
      <c r="G774">
        <v>3</v>
      </c>
      <c r="H774" t="s">
        <v>71</v>
      </c>
      <c r="I774" t="s">
        <v>44</v>
      </c>
      <c r="J774" t="s">
        <v>94</v>
      </c>
      <c r="K774" t="s">
        <v>77</v>
      </c>
      <c r="N774" t="b">
        <v>1</v>
      </c>
      <c r="O774" t="s">
        <v>100</v>
      </c>
      <c r="P774" t="s">
        <v>100</v>
      </c>
      <c r="S774" s="1">
        <v>0.76736111111111116</v>
      </c>
      <c r="T774" s="1">
        <v>0.84027777777777779</v>
      </c>
      <c r="U774">
        <v>105</v>
      </c>
      <c r="V774" t="b">
        <v>1</v>
      </c>
      <c r="W774" t="s">
        <v>31</v>
      </c>
      <c r="X774" t="s">
        <v>31</v>
      </c>
      <c r="Z774" t="b">
        <v>1</v>
      </c>
      <c r="AA774" t="s">
        <v>24</v>
      </c>
      <c r="AB774" t="b">
        <v>0</v>
      </c>
      <c r="AD774" s="2"/>
    </row>
    <row r="775" spans="1:30" x14ac:dyDescent="0.25">
      <c r="A775">
        <v>774</v>
      </c>
      <c r="B775" t="s">
        <v>25</v>
      </c>
      <c r="C775" s="3">
        <v>32251</v>
      </c>
      <c r="D775" s="2">
        <f ca="1">DATEDIF(gym_membership[[#This Row],[birthday]],TODAY(),"y")</f>
        <v>38</v>
      </c>
      <c r="E775">
        <v>36</v>
      </c>
      <c r="F775" t="s">
        <v>18</v>
      </c>
      <c r="G775">
        <v>4</v>
      </c>
      <c r="H775" t="s">
        <v>244</v>
      </c>
      <c r="I775" t="s">
        <v>34</v>
      </c>
      <c r="J775" t="s">
        <v>94</v>
      </c>
      <c r="K775" t="s">
        <v>95</v>
      </c>
      <c r="L775" t="s">
        <v>77</v>
      </c>
      <c r="N775" t="b">
        <v>0</v>
      </c>
      <c r="O775" t="s">
        <v>21</v>
      </c>
      <c r="S775" s="1">
        <v>0.52222222222222225</v>
      </c>
      <c r="T775" s="1">
        <v>0.54305555555555551</v>
      </c>
      <c r="U775">
        <v>30</v>
      </c>
      <c r="V775" t="b">
        <v>0</v>
      </c>
      <c r="W775" t="s">
        <v>21</v>
      </c>
      <c r="Z775" t="b">
        <v>0</v>
      </c>
      <c r="AA775" t="s">
        <v>456</v>
      </c>
      <c r="AB775" t="b">
        <v>0</v>
      </c>
      <c r="AD775" s="2"/>
    </row>
    <row r="776" spans="1:30" x14ac:dyDescent="0.25">
      <c r="A776">
        <v>775</v>
      </c>
      <c r="B776" t="s">
        <v>17</v>
      </c>
      <c r="C776" s="3">
        <v>40977</v>
      </c>
      <c r="D776" s="2">
        <f ca="1">DATEDIF(gym_membership[[#This Row],[birthday]],TODAY(),"y")</f>
        <v>14</v>
      </c>
      <c r="E776">
        <v>12</v>
      </c>
      <c r="F776" t="s">
        <v>18</v>
      </c>
      <c r="G776">
        <v>5</v>
      </c>
      <c r="H776" t="s">
        <v>102</v>
      </c>
      <c r="I776" t="s">
        <v>44</v>
      </c>
      <c r="J776" t="s">
        <v>34</v>
      </c>
      <c r="K776" t="s">
        <v>94</v>
      </c>
      <c r="L776" t="s">
        <v>95</v>
      </c>
      <c r="M776" t="s">
        <v>57</v>
      </c>
      <c r="N776" t="b">
        <v>1</v>
      </c>
      <c r="O776" t="s">
        <v>91</v>
      </c>
      <c r="P776" t="s">
        <v>91</v>
      </c>
      <c r="S776" s="1">
        <v>0.39930555555555558</v>
      </c>
      <c r="T776" s="1">
        <v>0.48958333333333331</v>
      </c>
      <c r="U776">
        <v>130</v>
      </c>
      <c r="V776" t="b">
        <v>1</v>
      </c>
      <c r="W776" t="s">
        <v>51</v>
      </c>
      <c r="X776" t="s">
        <v>51</v>
      </c>
      <c r="Z776" t="b">
        <v>0</v>
      </c>
      <c r="AA776" t="s">
        <v>456</v>
      </c>
      <c r="AB776" t="b">
        <v>0</v>
      </c>
      <c r="AD776" s="2"/>
    </row>
    <row r="777" spans="1:30" x14ac:dyDescent="0.25">
      <c r="A777">
        <v>776</v>
      </c>
      <c r="B777" t="s">
        <v>25</v>
      </c>
      <c r="C777" s="3">
        <v>33074</v>
      </c>
      <c r="D777" s="2">
        <f ca="1">DATEDIF(gym_membership[[#This Row],[birthday]],TODAY(),"y")</f>
        <v>36</v>
      </c>
      <c r="E777">
        <v>34</v>
      </c>
      <c r="F777" t="s">
        <v>18</v>
      </c>
      <c r="G777">
        <v>2</v>
      </c>
      <c r="H777" t="s">
        <v>86</v>
      </c>
      <c r="I777" t="s">
        <v>34</v>
      </c>
      <c r="J777" t="s">
        <v>26</v>
      </c>
      <c r="N777" t="b">
        <v>0</v>
      </c>
      <c r="O777" t="s">
        <v>21</v>
      </c>
      <c r="S777" s="1">
        <v>0.78055555555555556</v>
      </c>
      <c r="T777" s="1">
        <v>0.82430555555555551</v>
      </c>
      <c r="U777">
        <v>63</v>
      </c>
      <c r="V777" t="b">
        <v>1</v>
      </c>
      <c r="W777" t="s">
        <v>39</v>
      </c>
      <c r="X777" t="s">
        <v>39</v>
      </c>
      <c r="Z777" t="b">
        <v>0</v>
      </c>
      <c r="AA777" t="s">
        <v>456</v>
      </c>
      <c r="AB777" t="b">
        <v>1</v>
      </c>
      <c r="AD777" s="2"/>
    </row>
    <row r="778" spans="1:30" x14ac:dyDescent="0.25">
      <c r="A778">
        <v>777</v>
      </c>
      <c r="B778" t="s">
        <v>17</v>
      </c>
      <c r="C778" s="3">
        <v>29329</v>
      </c>
      <c r="D778" s="2">
        <f ca="1">DATEDIF(gym_membership[[#This Row],[birthday]],TODAY(),"y")</f>
        <v>46</v>
      </c>
      <c r="E778">
        <v>44</v>
      </c>
      <c r="F778" t="s">
        <v>18</v>
      </c>
      <c r="G778">
        <v>2</v>
      </c>
      <c r="H778" t="s">
        <v>133</v>
      </c>
      <c r="I778" t="s">
        <v>34</v>
      </c>
      <c r="J778" t="s">
        <v>94</v>
      </c>
      <c r="N778" t="b">
        <v>0</v>
      </c>
      <c r="O778" t="s">
        <v>21</v>
      </c>
      <c r="S778" s="1">
        <v>0.62361111111111112</v>
      </c>
      <c r="T778" s="1">
        <v>0.73472222222222228</v>
      </c>
      <c r="U778">
        <v>160</v>
      </c>
      <c r="V778" t="b">
        <v>1</v>
      </c>
      <c r="W778" t="s">
        <v>172</v>
      </c>
      <c r="X778" t="s">
        <v>65</v>
      </c>
      <c r="Y778" t="s">
        <v>59</v>
      </c>
      <c r="Z778" t="b">
        <v>1</v>
      </c>
      <c r="AA778" t="s">
        <v>45</v>
      </c>
      <c r="AB778" t="b">
        <v>1</v>
      </c>
      <c r="AD778" s="2"/>
    </row>
    <row r="779" spans="1:30" x14ac:dyDescent="0.25">
      <c r="A779">
        <v>778</v>
      </c>
      <c r="B779" t="s">
        <v>25</v>
      </c>
      <c r="C779" s="3">
        <v>28637</v>
      </c>
      <c r="D779" s="2">
        <f ca="1">DATEDIF(gym_membership[[#This Row],[birthday]],TODAY(),"y")</f>
        <v>48</v>
      </c>
      <c r="E779">
        <v>46</v>
      </c>
      <c r="F779" t="s">
        <v>18</v>
      </c>
      <c r="G779">
        <v>3</v>
      </c>
      <c r="H779" t="s">
        <v>173</v>
      </c>
      <c r="I779" t="s">
        <v>34</v>
      </c>
      <c r="J779" t="s">
        <v>95</v>
      </c>
      <c r="K779" t="s">
        <v>57</v>
      </c>
      <c r="N779" t="b">
        <v>1</v>
      </c>
      <c r="O779" t="s">
        <v>58</v>
      </c>
      <c r="P779" t="s">
        <v>58</v>
      </c>
      <c r="S779" s="1">
        <v>0.84513888888888888</v>
      </c>
      <c r="T779" s="1">
        <v>0.88263888888888886</v>
      </c>
      <c r="U779">
        <v>54</v>
      </c>
      <c r="V779" t="b">
        <v>0</v>
      </c>
      <c r="W779" t="s">
        <v>21</v>
      </c>
      <c r="Z779" t="b">
        <v>0</v>
      </c>
      <c r="AA779" t="s">
        <v>456</v>
      </c>
      <c r="AB779" t="b">
        <v>1</v>
      </c>
      <c r="AD779" s="2"/>
    </row>
    <row r="780" spans="1:30" x14ac:dyDescent="0.25">
      <c r="A780">
        <v>779</v>
      </c>
      <c r="B780" t="s">
        <v>17</v>
      </c>
      <c r="C780" s="3">
        <v>32034</v>
      </c>
      <c r="D780" s="2">
        <f ca="1">DATEDIF(gym_membership[[#This Row],[birthday]],TODAY(),"y")</f>
        <v>38</v>
      </c>
      <c r="E780">
        <v>37</v>
      </c>
      <c r="F780" t="s">
        <v>22</v>
      </c>
      <c r="G780">
        <v>1</v>
      </c>
      <c r="H780" t="s">
        <v>26</v>
      </c>
      <c r="I780" t="s">
        <v>26</v>
      </c>
      <c r="N780" t="b">
        <v>1</v>
      </c>
      <c r="O780" t="s">
        <v>67</v>
      </c>
      <c r="P780" t="s">
        <v>67</v>
      </c>
      <c r="S780" s="1">
        <v>0.35902777777777778</v>
      </c>
      <c r="T780" s="1">
        <v>0.42499999999999999</v>
      </c>
      <c r="U780">
        <v>95</v>
      </c>
      <c r="V780" t="b">
        <v>1</v>
      </c>
      <c r="W780" t="s">
        <v>205</v>
      </c>
      <c r="X780" t="s">
        <v>59</v>
      </c>
      <c r="Y780" t="s">
        <v>31</v>
      </c>
      <c r="Z780" t="b">
        <v>1</v>
      </c>
      <c r="AA780" t="s">
        <v>29</v>
      </c>
      <c r="AB780" t="b">
        <v>0</v>
      </c>
      <c r="AD780" s="2"/>
    </row>
    <row r="781" spans="1:30" x14ac:dyDescent="0.25">
      <c r="A781">
        <v>780</v>
      </c>
      <c r="B781" t="s">
        <v>17</v>
      </c>
      <c r="C781" s="3">
        <v>36546</v>
      </c>
      <c r="D781" s="2">
        <f ca="1">DATEDIF(gym_membership[[#This Row],[birthday]],TODAY(),"y")</f>
        <v>26</v>
      </c>
      <c r="E781">
        <v>24</v>
      </c>
      <c r="F781" t="s">
        <v>18</v>
      </c>
      <c r="G781">
        <v>3</v>
      </c>
      <c r="H781" t="s">
        <v>145</v>
      </c>
      <c r="I781" t="s">
        <v>34</v>
      </c>
      <c r="J781" t="s">
        <v>26</v>
      </c>
      <c r="K781" t="s">
        <v>94</v>
      </c>
      <c r="N781" t="b">
        <v>0</v>
      </c>
      <c r="O781" t="s">
        <v>21</v>
      </c>
      <c r="S781" s="1">
        <v>0.55555555555555558</v>
      </c>
      <c r="T781" s="1">
        <v>0.62083333333333335</v>
      </c>
      <c r="U781">
        <v>94</v>
      </c>
      <c r="V781" t="b">
        <v>0</v>
      </c>
      <c r="W781" t="s">
        <v>21</v>
      </c>
      <c r="Z781" t="b">
        <v>0</v>
      </c>
      <c r="AA781" t="s">
        <v>456</v>
      </c>
      <c r="AB781" t="b">
        <v>1</v>
      </c>
      <c r="AD781" s="2"/>
    </row>
    <row r="782" spans="1:30" x14ac:dyDescent="0.25">
      <c r="A782">
        <v>781</v>
      </c>
      <c r="B782" t="s">
        <v>25</v>
      </c>
      <c r="C782" s="3">
        <v>28549</v>
      </c>
      <c r="D782" s="2">
        <f ca="1">DATEDIF(gym_membership[[#This Row],[birthday]],TODAY(),"y")</f>
        <v>48</v>
      </c>
      <c r="E782">
        <v>46</v>
      </c>
      <c r="F782" t="s">
        <v>18</v>
      </c>
      <c r="G782">
        <v>4</v>
      </c>
      <c r="H782" t="s">
        <v>294</v>
      </c>
      <c r="I782" t="s">
        <v>34</v>
      </c>
      <c r="J782" t="s">
        <v>26</v>
      </c>
      <c r="K782" t="s">
        <v>95</v>
      </c>
      <c r="L782" t="s">
        <v>77</v>
      </c>
      <c r="N782" t="b">
        <v>1</v>
      </c>
      <c r="O782" t="s">
        <v>154</v>
      </c>
      <c r="P782" t="s">
        <v>58</v>
      </c>
      <c r="Q782" t="s">
        <v>91</v>
      </c>
      <c r="S782" s="1">
        <v>0.68888888888888888</v>
      </c>
      <c r="T782" s="1">
        <v>0.75972222222222219</v>
      </c>
      <c r="U782">
        <v>102</v>
      </c>
      <c r="V782" t="b">
        <v>1</v>
      </c>
      <c r="W782" t="s">
        <v>172</v>
      </c>
      <c r="X782" t="s">
        <v>65</v>
      </c>
      <c r="Y782" t="s">
        <v>59</v>
      </c>
      <c r="Z782" t="b">
        <v>1</v>
      </c>
      <c r="AA782" t="s">
        <v>45</v>
      </c>
      <c r="AB782" t="b">
        <v>1</v>
      </c>
      <c r="AD782" s="2"/>
    </row>
    <row r="783" spans="1:30" x14ac:dyDescent="0.25">
      <c r="A783">
        <v>782</v>
      </c>
      <c r="B783" t="s">
        <v>17</v>
      </c>
      <c r="C783" s="3">
        <v>37998</v>
      </c>
      <c r="D783" s="2">
        <f ca="1">DATEDIF(gym_membership[[#This Row],[birthday]],TODAY(),"y")</f>
        <v>22</v>
      </c>
      <c r="E783">
        <v>20</v>
      </c>
      <c r="F783" t="s">
        <v>18</v>
      </c>
      <c r="G783">
        <v>2</v>
      </c>
      <c r="H783" t="s">
        <v>126</v>
      </c>
      <c r="I783" t="s">
        <v>94</v>
      </c>
      <c r="J783" t="s">
        <v>57</v>
      </c>
      <c r="N783" t="b">
        <v>0</v>
      </c>
      <c r="O783" t="s">
        <v>21</v>
      </c>
      <c r="S783" s="1">
        <v>0.5854166666666667</v>
      </c>
      <c r="T783" s="1">
        <v>0.7</v>
      </c>
      <c r="U783">
        <v>165</v>
      </c>
      <c r="V783" t="b">
        <v>1</v>
      </c>
      <c r="W783" t="s">
        <v>59</v>
      </c>
      <c r="X783" t="s">
        <v>59</v>
      </c>
      <c r="Z783" t="b">
        <v>1</v>
      </c>
      <c r="AA783" t="s">
        <v>45</v>
      </c>
      <c r="AB783" t="b">
        <v>1</v>
      </c>
      <c r="AD783" s="2"/>
    </row>
    <row r="784" spans="1:30" x14ac:dyDescent="0.25">
      <c r="A784">
        <v>783</v>
      </c>
      <c r="B784" t="s">
        <v>25</v>
      </c>
      <c r="C784" s="3">
        <v>33588</v>
      </c>
      <c r="D784" s="2">
        <f ca="1">DATEDIF(gym_membership[[#This Row],[birthday]],TODAY(),"y")</f>
        <v>34</v>
      </c>
      <c r="E784">
        <v>32</v>
      </c>
      <c r="F784" t="s">
        <v>22</v>
      </c>
      <c r="G784">
        <v>3</v>
      </c>
      <c r="H784" t="s">
        <v>116</v>
      </c>
      <c r="I784" t="s">
        <v>44</v>
      </c>
      <c r="J784" t="s">
        <v>94</v>
      </c>
      <c r="K784" t="s">
        <v>57</v>
      </c>
      <c r="N784" t="b">
        <v>1</v>
      </c>
      <c r="O784" t="s">
        <v>288</v>
      </c>
      <c r="P784" t="s">
        <v>27</v>
      </c>
      <c r="Q784" t="s">
        <v>100</v>
      </c>
      <c r="S784" s="1">
        <v>0.51111111111111107</v>
      </c>
      <c r="T784" s="1">
        <v>0.54374999999999996</v>
      </c>
      <c r="U784">
        <v>47</v>
      </c>
      <c r="V784" t="b">
        <v>0</v>
      </c>
      <c r="W784" t="s">
        <v>21</v>
      </c>
      <c r="Z784" t="b">
        <v>1</v>
      </c>
      <c r="AA784" t="s">
        <v>29</v>
      </c>
      <c r="AB784" t="b">
        <v>0</v>
      </c>
      <c r="AD784" s="2"/>
    </row>
    <row r="785" spans="1:30" x14ac:dyDescent="0.25">
      <c r="A785">
        <v>784</v>
      </c>
      <c r="B785" t="s">
        <v>17</v>
      </c>
      <c r="C785" s="3">
        <v>35756</v>
      </c>
      <c r="D785" s="2">
        <f ca="1">DATEDIF(gym_membership[[#This Row],[birthday]],TODAY(),"y")</f>
        <v>28</v>
      </c>
      <c r="E785">
        <v>26</v>
      </c>
      <c r="F785" t="s">
        <v>22</v>
      </c>
      <c r="G785">
        <v>3</v>
      </c>
      <c r="H785" t="s">
        <v>299</v>
      </c>
      <c r="I785" t="s">
        <v>95</v>
      </c>
      <c r="J785" t="s">
        <v>57</v>
      </c>
      <c r="K785" t="s">
        <v>77</v>
      </c>
      <c r="N785" t="b">
        <v>0</v>
      </c>
      <c r="O785" t="s">
        <v>21</v>
      </c>
      <c r="S785" s="1">
        <v>0.40138888888888891</v>
      </c>
      <c r="T785" s="1">
        <v>0.44791666666666669</v>
      </c>
      <c r="U785">
        <v>67</v>
      </c>
      <c r="V785" t="b">
        <v>0</v>
      </c>
      <c r="W785" t="s">
        <v>21</v>
      </c>
      <c r="Z785" t="b">
        <v>1</v>
      </c>
      <c r="AA785" t="s">
        <v>45</v>
      </c>
      <c r="AB785" t="b">
        <v>1</v>
      </c>
      <c r="AD785" s="2"/>
    </row>
    <row r="786" spans="1:30" x14ac:dyDescent="0.25">
      <c r="A786">
        <v>785</v>
      </c>
      <c r="B786" t="s">
        <v>17</v>
      </c>
      <c r="C786" s="3">
        <v>31336</v>
      </c>
      <c r="D786" s="2">
        <f ca="1">DATEDIF(gym_membership[[#This Row],[birthday]],TODAY(),"y")</f>
        <v>40</v>
      </c>
      <c r="E786">
        <v>38</v>
      </c>
      <c r="F786" t="s">
        <v>22</v>
      </c>
      <c r="G786">
        <v>1</v>
      </c>
      <c r="H786" t="s">
        <v>44</v>
      </c>
      <c r="I786" t="s">
        <v>44</v>
      </c>
      <c r="N786" t="b">
        <v>1</v>
      </c>
      <c r="O786" t="s">
        <v>41</v>
      </c>
      <c r="P786" t="s">
        <v>41</v>
      </c>
      <c r="S786" s="1">
        <v>0.77013888888888893</v>
      </c>
      <c r="T786" s="1">
        <v>0.87361111111111112</v>
      </c>
      <c r="U786">
        <v>149</v>
      </c>
      <c r="V786" t="b">
        <v>0</v>
      </c>
      <c r="W786" t="s">
        <v>21</v>
      </c>
      <c r="Z786" t="b">
        <v>0</v>
      </c>
      <c r="AA786" t="s">
        <v>456</v>
      </c>
      <c r="AB786" t="b">
        <v>1</v>
      </c>
      <c r="AD786" s="2"/>
    </row>
    <row r="787" spans="1:30" x14ac:dyDescent="0.25">
      <c r="A787">
        <v>786</v>
      </c>
      <c r="B787" t="s">
        <v>17</v>
      </c>
      <c r="C787" s="3">
        <v>29117</v>
      </c>
      <c r="D787" s="2">
        <f ca="1">DATEDIF(gym_membership[[#This Row],[birthday]],TODAY(),"y")</f>
        <v>46</v>
      </c>
      <c r="E787">
        <v>45</v>
      </c>
      <c r="F787" t="s">
        <v>18</v>
      </c>
      <c r="G787">
        <v>4</v>
      </c>
      <c r="H787" t="s">
        <v>127</v>
      </c>
      <c r="I787" t="s">
        <v>44</v>
      </c>
      <c r="J787" t="s">
        <v>95</v>
      </c>
      <c r="K787" t="s">
        <v>57</v>
      </c>
      <c r="L787" t="s">
        <v>77</v>
      </c>
      <c r="N787" t="b">
        <v>0</v>
      </c>
      <c r="O787" t="s">
        <v>21</v>
      </c>
      <c r="S787" s="1">
        <v>0.81388888888888888</v>
      </c>
      <c r="T787" s="1">
        <v>0.84583333333333333</v>
      </c>
      <c r="U787">
        <v>46</v>
      </c>
      <c r="V787" t="b">
        <v>1</v>
      </c>
      <c r="W787" t="s">
        <v>80</v>
      </c>
      <c r="X787" t="s">
        <v>59</v>
      </c>
      <c r="Y787" t="s">
        <v>39</v>
      </c>
      <c r="Z787" t="b">
        <v>0</v>
      </c>
      <c r="AA787" t="s">
        <v>456</v>
      </c>
      <c r="AB787" t="b">
        <v>0</v>
      </c>
      <c r="AD787" s="2"/>
    </row>
    <row r="788" spans="1:30" x14ac:dyDescent="0.25">
      <c r="A788">
        <v>787</v>
      </c>
      <c r="B788" t="s">
        <v>17</v>
      </c>
      <c r="C788" s="3">
        <v>37942</v>
      </c>
      <c r="D788" s="2">
        <f ca="1">DATEDIF(gym_membership[[#This Row],[birthday]],TODAY(),"y")</f>
        <v>22</v>
      </c>
      <c r="E788">
        <v>20</v>
      </c>
      <c r="F788" t="s">
        <v>22</v>
      </c>
      <c r="G788">
        <v>1</v>
      </c>
      <c r="H788" t="s">
        <v>44</v>
      </c>
      <c r="I788" t="s">
        <v>44</v>
      </c>
      <c r="N788" t="b">
        <v>0</v>
      </c>
      <c r="O788" t="s">
        <v>21</v>
      </c>
      <c r="S788" s="1">
        <v>0.4826388888888889</v>
      </c>
      <c r="T788" s="1">
        <v>0.5625</v>
      </c>
      <c r="U788">
        <v>115</v>
      </c>
      <c r="V788" t="b">
        <v>0</v>
      </c>
      <c r="W788" t="s">
        <v>21</v>
      </c>
      <c r="Z788" t="b">
        <v>0</v>
      </c>
      <c r="AA788" t="s">
        <v>456</v>
      </c>
      <c r="AB788" t="b">
        <v>1</v>
      </c>
      <c r="AD788" s="2"/>
    </row>
    <row r="789" spans="1:30" x14ac:dyDescent="0.25">
      <c r="A789">
        <v>788</v>
      </c>
      <c r="B789" t="s">
        <v>25</v>
      </c>
      <c r="C789" s="3">
        <v>27863</v>
      </c>
      <c r="D789" s="2">
        <f ca="1">DATEDIF(gym_membership[[#This Row],[birthday]],TODAY(),"y")</f>
        <v>50</v>
      </c>
      <c r="E789">
        <v>48</v>
      </c>
      <c r="F789" t="s">
        <v>22</v>
      </c>
      <c r="G789">
        <v>3</v>
      </c>
      <c r="H789" t="s">
        <v>214</v>
      </c>
      <c r="I789" t="s">
        <v>34</v>
      </c>
      <c r="J789" t="s">
        <v>26</v>
      </c>
      <c r="K789" t="s">
        <v>57</v>
      </c>
      <c r="N789" t="b">
        <v>0</v>
      </c>
      <c r="O789" t="s">
        <v>21</v>
      </c>
      <c r="S789" s="1">
        <v>0.82222222222222219</v>
      </c>
      <c r="T789" s="1">
        <v>0.86875000000000002</v>
      </c>
      <c r="U789">
        <v>67</v>
      </c>
      <c r="V789" t="b">
        <v>1</v>
      </c>
      <c r="W789" t="s">
        <v>39</v>
      </c>
      <c r="X789" t="s">
        <v>39</v>
      </c>
      <c r="Z789" t="b">
        <v>0</v>
      </c>
      <c r="AA789" t="s">
        <v>456</v>
      </c>
      <c r="AB789" t="b">
        <v>0</v>
      </c>
      <c r="AD789" s="2"/>
    </row>
    <row r="790" spans="1:30" x14ac:dyDescent="0.25">
      <c r="A790">
        <v>789</v>
      </c>
      <c r="B790" t="s">
        <v>17</v>
      </c>
      <c r="C790" s="3">
        <v>30271</v>
      </c>
      <c r="D790" s="2">
        <f ca="1">DATEDIF(gym_membership[[#This Row],[birthday]],TODAY(),"y")</f>
        <v>43</v>
      </c>
      <c r="E790">
        <v>41</v>
      </c>
      <c r="F790" t="s">
        <v>18</v>
      </c>
      <c r="G790">
        <v>4</v>
      </c>
      <c r="H790" t="s">
        <v>192</v>
      </c>
      <c r="I790" t="s">
        <v>44</v>
      </c>
      <c r="J790" t="s">
        <v>34</v>
      </c>
      <c r="K790" t="s">
        <v>95</v>
      </c>
      <c r="L790" t="s">
        <v>77</v>
      </c>
      <c r="N790" t="b">
        <v>0</v>
      </c>
      <c r="O790" t="s">
        <v>21</v>
      </c>
      <c r="S790" s="1">
        <v>0.71388888888888891</v>
      </c>
      <c r="T790" s="1">
        <v>0.76111111111111107</v>
      </c>
      <c r="U790">
        <v>68</v>
      </c>
      <c r="V790" t="b">
        <v>1</v>
      </c>
      <c r="W790" t="s">
        <v>204</v>
      </c>
      <c r="X790" t="s">
        <v>39</v>
      </c>
      <c r="Y790" t="s">
        <v>51</v>
      </c>
      <c r="Z790" t="b">
        <v>1</v>
      </c>
      <c r="AA790" t="s">
        <v>43</v>
      </c>
      <c r="AB790" t="b">
        <v>0</v>
      </c>
      <c r="AD790" s="2"/>
    </row>
    <row r="791" spans="1:30" x14ac:dyDescent="0.25">
      <c r="A791">
        <v>790</v>
      </c>
      <c r="B791" t="s">
        <v>25</v>
      </c>
      <c r="C791" s="3">
        <v>36521</v>
      </c>
      <c r="D791" s="2">
        <f ca="1">DATEDIF(gym_membership[[#This Row],[birthday]],TODAY(),"y")</f>
        <v>26</v>
      </c>
      <c r="E791">
        <v>24</v>
      </c>
      <c r="F791" t="s">
        <v>22</v>
      </c>
      <c r="G791">
        <v>2</v>
      </c>
      <c r="H791" t="s">
        <v>111</v>
      </c>
      <c r="I791" t="s">
        <v>94</v>
      </c>
      <c r="J791" t="s">
        <v>95</v>
      </c>
      <c r="N791" t="b">
        <v>0</v>
      </c>
      <c r="O791" t="s">
        <v>21</v>
      </c>
      <c r="S791" s="1">
        <v>0.55694444444444446</v>
      </c>
      <c r="T791" s="1">
        <v>0.60902777777777772</v>
      </c>
      <c r="U791">
        <v>75</v>
      </c>
      <c r="V791" t="b">
        <v>1</v>
      </c>
      <c r="W791" t="s">
        <v>207</v>
      </c>
      <c r="X791" t="s">
        <v>76</v>
      </c>
      <c r="Y791" t="s">
        <v>51</v>
      </c>
      <c r="Z791" t="b">
        <v>1</v>
      </c>
      <c r="AA791" t="s">
        <v>43</v>
      </c>
      <c r="AB791" t="b">
        <v>0</v>
      </c>
      <c r="AD791" s="2"/>
    </row>
    <row r="792" spans="1:30" x14ac:dyDescent="0.25">
      <c r="A792">
        <v>791</v>
      </c>
      <c r="B792" t="s">
        <v>17</v>
      </c>
      <c r="C792" s="3">
        <v>28302</v>
      </c>
      <c r="D792" s="2">
        <f ca="1">DATEDIF(gym_membership[[#This Row],[birthday]],TODAY(),"y")</f>
        <v>49</v>
      </c>
      <c r="E792">
        <v>47</v>
      </c>
      <c r="F792" t="s">
        <v>22</v>
      </c>
      <c r="G792">
        <v>3</v>
      </c>
      <c r="H792" t="s">
        <v>56</v>
      </c>
      <c r="I792" t="s">
        <v>26</v>
      </c>
      <c r="J792" t="s">
        <v>95</v>
      </c>
      <c r="K792" t="s">
        <v>57</v>
      </c>
      <c r="N792" t="b">
        <v>0</v>
      </c>
      <c r="O792" t="s">
        <v>21</v>
      </c>
      <c r="S792" s="1">
        <v>0.7006944444444444</v>
      </c>
      <c r="T792" s="1">
        <v>0.82361111111111107</v>
      </c>
      <c r="U792">
        <v>177</v>
      </c>
      <c r="V792" t="b">
        <v>1</v>
      </c>
      <c r="W792" t="s">
        <v>217</v>
      </c>
      <c r="X792" t="s">
        <v>76</v>
      </c>
      <c r="Y792" t="s">
        <v>59</v>
      </c>
      <c r="Z792" t="b">
        <v>0</v>
      </c>
      <c r="AA792" t="s">
        <v>456</v>
      </c>
      <c r="AB792" t="b">
        <v>0</v>
      </c>
      <c r="AD792" s="2"/>
    </row>
    <row r="793" spans="1:30" x14ac:dyDescent="0.25">
      <c r="A793">
        <v>792</v>
      </c>
      <c r="B793" t="s">
        <v>17</v>
      </c>
      <c r="C793" s="3">
        <v>30085</v>
      </c>
      <c r="D793" s="2">
        <f ca="1">DATEDIF(gym_membership[[#This Row],[birthday]],TODAY(),"y")</f>
        <v>44</v>
      </c>
      <c r="E793">
        <v>42</v>
      </c>
      <c r="F793" t="s">
        <v>18</v>
      </c>
      <c r="G793">
        <v>3</v>
      </c>
      <c r="H793" t="s">
        <v>109</v>
      </c>
      <c r="I793" t="s">
        <v>34</v>
      </c>
      <c r="J793" t="s">
        <v>94</v>
      </c>
      <c r="K793" t="s">
        <v>95</v>
      </c>
      <c r="N793" t="b">
        <v>1</v>
      </c>
      <c r="O793" t="s">
        <v>280</v>
      </c>
      <c r="P793" t="s">
        <v>67</v>
      </c>
      <c r="Q793" t="s">
        <v>100</v>
      </c>
      <c r="S793" s="1">
        <v>0.48888888888888887</v>
      </c>
      <c r="T793" s="1">
        <v>0.55486111111111114</v>
      </c>
      <c r="U793">
        <v>95</v>
      </c>
      <c r="V793" t="b">
        <v>0</v>
      </c>
      <c r="W793" t="s">
        <v>21</v>
      </c>
      <c r="Z793" t="b">
        <v>1</v>
      </c>
      <c r="AA793" t="s">
        <v>24</v>
      </c>
      <c r="AB793" t="b">
        <v>1</v>
      </c>
      <c r="AD793" s="2"/>
    </row>
    <row r="794" spans="1:30" x14ac:dyDescent="0.25">
      <c r="A794">
        <v>793</v>
      </c>
      <c r="B794" t="s">
        <v>25</v>
      </c>
      <c r="C794" s="3">
        <v>33162</v>
      </c>
      <c r="D794" s="2">
        <f ca="1">DATEDIF(gym_membership[[#This Row],[birthday]],TODAY(),"y")</f>
        <v>35</v>
      </c>
      <c r="E794">
        <v>33</v>
      </c>
      <c r="F794" t="s">
        <v>22</v>
      </c>
      <c r="G794">
        <v>1</v>
      </c>
      <c r="H794" t="s">
        <v>44</v>
      </c>
      <c r="I794" t="s">
        <v>44</v>
      </c>
      <c r="N794" t="b">
        <v>1</v>
      </c>
      <c r="O794" t="s">
        <v>389</v>
      </c>
      <c r="P794" t="s">
        <v>128</v>
      </c>
      <c r="Q794" t="s">
        <v>58</v>
      </c>
      <c r="R794" t="s">
        <v>27</v>
      </c>
      <c r="S794" s="1">
        <v>0.67083333333333328</v>
      </c>
      <c r="T794" s="1">
        <v>0.70972222222222225</v>
      </c>
      <c r="U794">
        <v>56</v>
      </c>
      <c r="V794" t="b">
        <v>0</v>
      </c>
      <c r="W794" t="s">
        <v>21</v>
      </c>
      <c r="Z794" t="b">
        <v>0</v>
      </c>
      <c r="AA794" t="s">
        <v>456</v>
      </c>
      <c r="AB794" t="b">
        <v>0</v>
      </c>
      <c r="AD794" s="2"/>
    </row>
    <row r="795" spans="1:30" x14ac:dyDescent="0.25">
      <c r="A795">
        <v>794</v>
      </c>
      <c r="B795" t="s">
        <v>17</v>
      </c>
      <c r="C795" s="3">
        <v>36635</v>
      </c>
      <c r="D795" s="2">
        <f ca="1">DATEDIF(gym_membership[[#This Row],[birthday]],TODAY(),"y")</f>
        <v>26</v>
      </c>
      <c r="E795">
        <v>24</v>
      </c>
      <c r="F795" t="s">
        <v>22</v>
      </c>
      <c r="G795">
        <v>4</v>
      </c>
      <c r="H795" t="s">
        <v>201</v>
      </c>
      <c r="I795" t="s">
        <v>34</v>
      </c>
      <c r="J795" t="s">
        <v>26</v>
      </c>
      <c r="K795" t="s">
        <v>94</v>
      </c>
      <c r="L795" t="s">
        <v>95</v>
      </c>
      <c r="N795" t="b">
        <v>0</v>
      </c>
      <c r="O795" t="s">
        <v>21</v>
      </c>
      <c r="S795" s="1">
        <v>0.72013888888888888</v>
      </c>
      <c r="T795" s="1">
        <v>0.83680555555555558</v>
      </c>
      <c r="U795">
        <v>168</v>
      </c>
      <c r="V795" t="b">
        <v>1</v>
      </c>
      <c r="W795" t="s">
        <v>203</v>
      </c>
      <c r="X795" t="s">
        <v>51</v>
      </c>
      <c r="Y795" t="s">
        <v>39</v>
      </c>
      <c r="Z795" t="b">
        <v>0</v>
      </c>
      <c r="AA795" t="s">
        <v>456</v>
      </c>
      <c r="AB795" t="b">
        <v>0</v>
      </c>
      <c r="AD795" s="2"/>
    </row>
    <row r="796" spans="1:30" x14ac:dyDescent="0.25">
      <c r="A796">
        <v>795</v>
      </c>
      <c r="B796" t="s">
        <v>25</v>
      </c>
      <c r="C796" s="3">
        <v>34748</v>
      </c>
      <c r="D796" s="2">
        <f ca="1">DATEDIF(gym_membership[[#This Row],[birthday]],TODAY(),"y")</f>
        <v>31</v>
      </c>
      <c r="E796">
        <v>29</v>
      </c>
      <c r="F796" t="s">
        <v>22</v>
      </c>
      <c r="G796">
        <v>1</v>
      </c>
      <c r="H796" t="s">
        <v>57</v>
      </c>
      <c r="I796" t="s">
        <v>57</v>
      </c>
      <c r="N796" t="b">
        <v>1</v>
      </c>
      <c r="O796" t="s">
        <v>390</v>
      </c>
      <c r="P796" t="s">
        <v>91</v>
      </c>
      <c r="Q796" t="s">
        <v>128</v>
      </c>
      <c r="R796" t="s">
        <v>72</v>
      </c>
      <c r="S796" s="1">
        <v>0.54097222222222219</v>
      </c>
      <c r="T796" s="1">
        <v>0.58472222222222225</v>
      </c>
      <c r="U796">
        <v>63</v>
      </c>
      <c r="V796" t="b">
        <v>0</v>
      </c>
      <c r="W796" t="s">
        <v>21</v>
      </c>
      <c r="Z796" t="b">
        <v>1</v>
      </c>
      <c r="AA796" t="s">
        <v>29</v>
      </c>
      <c r="AB796" t="b">
        <v>1</v>
      </c>
      <c r="AD796" s="2"/>
    </row>
    <row r="797" spans="1:30" x14ac:dyDescent="0.25">
      <c r="A797">
        <v>796</v>
      </c>
      <c r="B797" t="s">
        <v>17</v>
      </c>
      <c r="C797" s="3">
        <v>34613</v>
      </c>
      <c r="D797" s="2">
        <f ca="1">DATEDIF(gym_membership[[#This Row],[birthday]],TODAY(),"y")</f>
        <v>31</v>
      </c>
      <c r="E797">
        <v>30</v>
      </c>
      <c r="F797" t="s">
        <v>22</v>
      </c>
      <c r="G797">
        <v>4</v>
      </c>
      <c r="H797" t="s">
        <v>144</v>
      </c>
      <c r="I797" t="s">
        <v>44</v>
      </c>
      <c r="J797" t="s">
        <v>34</v>
      </c>
      <c r="K797" t="s">
        <v>26</v>
      </c>
      <c r="L797" t="s">
        <v>77</v>
      </c>
      <c r="N797" t="b">
        <v>1</v>
      </c>
      <c r="O797" t="s">
        <v>67</v>
      </c>
      <c r="P797" t="s">
        <v>67</v>
      </c>
      <c r="S797" s="1">
        <v>0.38958333333333334</v>
      </c>
      <c r="T797" s="1">
        <v>0.47986111111111113</v>
      </c>
      <c r="U797">
        <v>130</v>
      </c>
      <c r="V797" t="b">
        <v>1</v>
      </c>
      <c r="W797" t="s">
        <v>207</v>
      </c>
      <c r="X797" t="s">
        <v>76</v>
      </c>
      <c r="Y797" t="s">
        <v>51</v>
      </c>
      <c r="Z797" t="b">
        <v>1</v>
      </c>
      <c r="AA797" t="s">
        <v>43</v>
      </c>
      <c r="AB797" t="b">
        <v>1</v>
      </c>
      <c r="AD797" s="2"/>
    </row>
    <row r="798" spans="1:30" x14ac:dyDescent="0.25">
      <c r="A798">
        <v>797</v>
      </c>
      <c r="B798" t="s">
        <v>25</v>
      </c>
      <c r="C798" s="3">
        <v>28511</v>
      </c>
      <c r="D798" s="2">
        <f ca="1">DATEDIF(gym_membership[[#This Row],[birthday]],TODAY(),"y")</f>
        <v>48</v>
      </c>
      <c r="E798">
        <v>46</v>
      </c>
      <c r="F798" t="s">
        <v>22</v>
      </c>
      <c r="G798">
        <v>5</v>
      </c>
      <c r="H798" t="s">
        <v>330</v>
      </c>
      <c r="I798" t="s">
        <v>44</v>
      </c>
      <c r="J798" t="s">
        <v>34</v>
      </c>
      <c r="K798" t="s">
        <v>26</v>
      </c>
      <c r="L798" t="s">
        <v>57</v>
      </c>
      <c r="M798" t="s">
        <v>77</v>
      </c>
      <c r="N798" t="b">
        <v>1</v>
      </c>
      <c r="O798" t="s">
        <v>286</v>
      </c>
      <c r="P798" t="s">
        <v>100</v>
      </c>
      <c r="Q798" t="s">
        <v>103</v>
      </c>
      <c r="S798" s="1">
        <v>0.40347222222222223</v>
      </c>
      <c r="T798" s="1">
        <v>0.52638888888888891</v>
      </c>
      <c r="U798">
        <v>177</v>
      </c>
      <c r="V798" t="b">
        <v>1</v>
      </c>
      <c r="W798" t="s">
        <v>59</v>
      </c>
      <c r="X798" t="s">
        <v>59</v>
      </c>
      <c r="Z798" t="b">
        <v>1</v>
      </c>
      <c r="AA798" t="s">
        <v>24</v>
      </c>
      <c r="AB798" t="b">
        <v>1</v>
      </c>
      <c r="AD798" s="2"/>
    </row>
    <row r="799" spans="1:30" x14ac:dyDescent="0.25">
      <c r="A799">
        <v>798</v>
      </c>
      <c r="B799" t="s">
        <v>25</v>
      </c>
      <c r="C799" s="3">
        <v>32204</v>
      </c>
      <c r="D799" s="2">
        <f ca="1">DATEDIF(gym_membership[[#This Row],[birthday]],TODAY(),"y")</f>
        <v>38</v>
      </c>
      <c r="E799">
        <v>36</v>
      </c>
      <c r="F799" t="s">
        <v>22</v>
      </c>
      <c r="G799">
        <v>1</v>
      </c>
      <c r="H799" t="s">
        <v>57</v>
      </c>
      <c r="I799" t="s">
        <v>57</v>
      </c>
      <c r="N799" t="b">
        <v>1</v>
      </c>
      <c r="O799" t="s">
        <v>96</v>
      </c>
      <c r="P799" t="s">
        <v>96</v>
      </c>
      <c r="S799" s="1">
        <v>0.86388888888888893</v>
      </c>
      <c r="T799" s="1">
        <v>0.93194444444444446</v>
      </c>
      <c r="U799">
        <v>98</v>
      </c>
      <c r="V799" t="b">
        <v>1</v>
      </c>
      <c r="W799" t="s">
        <v>51</v>
      </c>
      <c r="X799" t="s">
        <v>51</v>
      </c>
      <c r="Z799" t="b">
        <v>1</v>
      </c>
      <c r="AA799" t="s">
        <v>24</v>
      </c>
      <c r="AB799" t="b">
        <v>1</v>
      </c>
      <c r="AD799" s="2"/>
    </row>
    <row r="800" spans="1:30" x14ac:dyDescent="0.25">
      <c r="A800">
        <v>799</v>
      </c>
      <c r="B800" t="s">
        <v>17</v>
      </c>
      <c r="C800" s="3">
        <v>34923</v>
      </c>
      <c r="D800" s="2">
        <f ca="1">DATEDIF(gym_membership[[#This Row],[birthday]],TODAY(),"y")</f>
        <v>31</v>
      </c>
      <c r="E800">
        <v>29</v>
      </c>
      <c r="F800" t="s">
        <v>22</v>
      </c>
      <c r="G800">
        <v>4</v>
      </c>
      <c r="H800" t="s">
        <v>19</v>
      </c>
      <c r="I800" t="s">
        <v>34</v>
      </c>
      <c r="J800" t="s">
        <v>26</v>
      </c>
      <c r="K800" t="s">
        <v>57</v>
      </c>
      <c r="L800" t="s">
        <v>77</v>
      </c>
      <c r="N800" t="b">
        <v>1</v>
      </c>
      <c r="O800" t="s">
        <v>306</v>
      </c>
      <c r="P800" t="s">
        <v>128</v>
      </c>
      <c r="Q800" t="s">
        <v>100</v>
      </c>
      <c r="S800" s="1">
        <v>0.38263888888888886</v>
      </c>
      <c r="T800" s="1">
        <v>0.45</v>
      </c>
      <c r="U800">
        <v>97</v>
      </c>
      <c r="V800" t="b">
        <v>0</v>
      </c>
      <c r="W800" t="s">
        <v>21</v>
      </c>
      <c r="Z800" t="b">
        <v>0</v>
      </c>
      <c r="AA800" t="s">
        <v>456</v>
      </c>
      <c r="AB800" t="b">
        <v>1</v>
      </c>
      <c r="AD800" s="2"/>
    </row>
    <row r="801" spans="1:30" x14ac:dyDescent="0.25">
      <c r="A801">
        <v>800</v>
      </c>
      <c r="B801" t="s">
        <v>17</v>
      </c>
      <c r="C801" s="3">
        <v>33112</v>
      </c>
      <c r="D801" s="2">
        <f ca="1">DATEDIF(gym_membership[[#This Row],[birthday]],TODAY(),"y")</f>
        <v>36</v>
      </c>
      <c r="E801">
        <v>34</v>
      </c>
      <c r="F801" t="s">
        <v>18</v>
      </c>
      <c r="G801">
        <v>3</v>
      </c>
      <c r="H801" t="s">
        <v>71</v>
      </c>
      <c r="I801" t="s">
        <v>44</v>
      </c>
      <c r="J801" t="s">
        <v>94</v>
      </c>
      <c r="K801" t="s">
        <v>77</v>
      </c>
      <c r="N801" t="b">
        <v>0</v>
      </c>
      <c r="O801" t="s">
        <v>21</v>
      </c>
      <c r="S801" s="1">
        <v>0.38958333333333334</v>
      </c>
      <c r="T801" s="1">
        <v>0.46597222222222223</v>
      </c>
      <c r="U801">
        <v>110</v>
      </c>
      <c r="V801" t="b">
        <v>1</v>
      </c>
      <c r="W801" t="s">
        <v>65</v>
      </c>
      <c r="X801" t="s">
        <v>65</v>
      </c>
      <c r="Z801" t="b">
        <v>0</v>
      </c>
      <c r="AA801" t="s">
        <v>456</v>
      </c>
      <c r="AB801" t="b">
        <v>0</v>
      </c>
      <c r="AD801" s="2"/>
    </row>
    <row r="802" spans="1:30" x14ac:dyDescent="0.25">
      <c r="A802">
        <v>801</v>
      </c>
      <c r="B802" t="s">
        <v>17</v>
      </c>
      <c r="C802" s="3">
        <v>28329</v>
      </c>
      <c r="D802" s="2">
        <f ca="1">DATEDIF(gym_membership[[#This Row],[birthday]],TODAY(),"y")</f>
        <v>49</v>
      </c>
      <c r="E802">
        <v>47</v>
      </c>
      <c r="F802" t="s">
        <v>22</v>
      </c>
      <c r="G802">
        <v>2</v>
      </c>
      <c r="H802" t="s">
        <v>119</v>
      </c>
      <c r="I802" t="s">
        <v>44</v>
      </c>
      <c r="J802" t="s">
        <v>57</v>
      </c>
      <c r="N802" t="b">
        <v>1</v>
      </c>
      <c r="O802" t="s">
        <v>335</v>
      </c>
      <c r="P802" t="s">
        <v>91</v>
      </c>
      <c r="Q802" t="s">
        <v>103</v>
      </c>
      <c r="S802" s="1">
        <v>0.80486111111111114</v>
      </c>
      <c r="T802" s="1">
        <v>0.86805555555555558</v>
      </c>
      <c r="U802">
        <v>91</v>
      </c>
      <c r="V802" t="b">
        <v>0</v>
      </c>
      <c r="W802" t="s">
        <v>21</v>
      </c>
      <c r="Z802" t="b">
        <v>0</v>
      </c>
      <c r="AA802" t="s">
        <v>456</v>
      </c>
      <c r="AB802" t="b">
        <v>0</v>
      </c>
      <c r="AD802" s="2"/>
    </row>
    <row r="803" spans="1:30" x14ac:dyDescent="0.25">
      <c r="A803">
        <v>802</v>
      </c>
      <c r="B803" t="s">
        <v>17</v>
      </c>
      <c r="C803" s="3">
        <v>35744</v>
      </c>
      <c r="D803" s="2">
        <f ca="1">DATEDIF(gym_membership[[#This Row],[birthday]],TODAY(),"y")</f>
        <v>28</v>
      </c>
      <c r="E803">
        <v>26</v>
      </c>
      <c r="F803" t="s">
        <v>18</v>
      </c>
      <c r="G803">
        <v>2</v>
      </c>
      <c r="H803" t="s">
        <v>111</v>
      </c>
      <c r="I803" t="s">
        <v>94</v>
      </c>
      <c r="J803" t="s">
        <v>95</v>
      </c>
      <c r="N803" t="b">
        <v>1</v>
      </c>
      <c r="O803" t="s">
        <v>100</v>
      </c>
      <c r="P803" t="s">
        <v>100</v>
      </c>
      <c r="S803" s="1">
        <v>0.33333333333333331</v>
      </c>
      <c r="T803" s="1">
        <v>0.40416666666666667</v>
      </c>
      <c r="U803">
        <v>102</v>
      </c>
      <c r="V803" t="b">
        <v>0</v>
      </c>
      <c r="W803" t="s">
        <v>21</v>
      </c>
      <c r="Z803" t="b">
        <v>1</v>
      </c>
      <c r="AA803" t="s">
        <v>45</v>
      </c>
      <c r="AB803" t="b">
        <v>1</v>
      </c>
      <c r="AD803" s="2"/>
    </row>
    <row r="804" spans="1:30" x14ac:dyDescent="0.25">
      <c r="A804">
        <v>803</v>
      </c>
      <c r="B804" t="s">
        <v>17</v>
      </c>
      <c r="C804" s="3">
        <v>30503</v>
      </c>
      <c r="D804" s="2">
        <f ca="1">DATEDIF(gym_membership[[#This Row],[birthday]],TODAY(),"y")</f>
        <v>43</v>
      </c>
      <c r="E804">
        <v>41</v>
      </c>
      <c r="F804" t="s">
        <v>22</v>
      </c>
      <c r="G804">
        <v>3</v>
      </c>
      <c r="H804" t="s">
        <v>210</v>
      </c>
      <c r="I804" t="s">
        <v>44</v>
      </c>
      <c r="J804" t="s">
        <v>34</v>
      </c>
      <c r="K804" t="s">
        <v>77</v>
      </c>
      <c r="N804" t="b">
        <v>0</v>
      </c>
      <c r="O804" t="s">
        <v>21</v>
      </c>
      <c r="S804" s="1">
        <v>0.39305555555555555</v>
      </c>
      <c r="T804" s="1">
        <v>0.44097222222222221</v>
      </c>
      <c r="U804">
        <v>69</v>
      </c>
      <c r="V804" t="b">
        <v>1</v>
      </c>
      <c r="W804" t="s">
        <v>31</v>
      </c>
      <c r="X804" t="s">
        <v>31</v>
      </c>
      <c r="Z804" t="b">
        <v>0</v>
      </c>
      <c r="AA804" t="s">
        <v>456</v>
      </c>
      <c r="AB804" t="b">
        <v>1</v>
      </c>
      <c r="AD804" s="2"/>
    </row>
    <row r="805" spans="1:30" x14ac:dyDescent="0.25">
      <c r="A805">
        <v>804</v>
      </c>
      <c r="B805" t="s">
        <v>25</v>
      </c>
      <c r="C805" s="3">
        <v>38857</v>
      </c>
      <c r="D805" s="2">
        <f ca="1">DATEDIF(gym_membership[[#This Row],[birthday]],TODAY(),"y")</f>
        <v>20</v>
      </c>
      <c r="E805">
        <v>18</v>
      </c>
      <c r="F805" t="s">
        <v>18</v>
      </c>
      <c r="G805">
        <v>4</v>
      </c>
      <c r="H805" t="s">
        <v>294</v>
      </c>
      <c r="I805" t="s">
        <v>34</v>
      </c>
      <c r="J805" t="s">
        <v>26</v>
      </c>
      <c r="K805" t="s">
        <v>95</v>
      </c>
      <c r="L805" t="s">
        <v>77</v>
      </c>
      <c r="N805" t="b">
        <v>0</v>
      </c>
      <c r="O805" t="s">
        <v>21</v>
      </c>
      <c r="S805" s="1">
        <v>0.37430555555555556</v>
      </c>
      <c r="T805" s="1">
        <v>0.4465277777777778</v>
      </c>
      <c r="U805">
        <v>104</v>
      </c>
      <c r="V805" t="b">
        <v>0</v>
      </c>
      <c r="W805" t="s">
        <v>21</v>
      </c>
      <c r="Z805" t="b">
        <v>1</v>
      </c>
      <c r="AA805" t="s">
        <v>29</v>
      </c>
      <c r="AB805" t="b">
        <v>0</v>
      </c>
      <c r="AD805" s="2"/>
    </row>
    <row r="806" spans="1:30" x14ac:dyDescent="0.25">
      <c r="A806">
        <v>805</v>
      </c>
      <c r="B806" t="s">
        <v>17</v>
      </c>
      <c r="C806" s="3">
        <v>27915</v>
      </c>
      <c r="D806" s="2">
        <f ca="1">DATEDIF(gym_membership[[#This Row],[birthday]],TODAY(),"y")</f>
        <v>50</v>
      </c>
      <c r="E806">
        <v>48</v>
      </c>
      <c r="F806" t="s">
        <v>18</v>
      </c>
      <c r="G806">
        <v>2</v>
      </c>
      <c r="H806" t="s">
        <v>289</v>
      </c>
      <c r="I806" t="s">
        <v>34</v>
      </c>
      <c r="J806" t="s">
        <v>95</v>
      </c>
      <c r="N806" t="b">
        <v>1</v>
      </c>
      <c r="O806" t="s">
        <v>391</v>
      </c>
      <c r="P806" t="s">
        <v>41</v>
      </c>
      <c r="Q806" t="s">
        <v>27</v>
      </c>
      <c r="R806" t="s">
        <v>72</v>
      </c>
      <c r="S806" s="1">
        <v>0.34375</v>
      </c>
      <c r="T806" s="1">
        <v>0.41736111111111113</v>
      </c>
      <c r="U806">
        <v>106</v>
      </c>
      <c r="V806" t="b">
        <v>1</v>
      </c>
      <c r="W806" t="s">
        <v>65</v>
      </c>
      <c r="X806" t="s">
        <v>65</v>
      </c>
      <c r="Z806" t="b">
        <v>1</v>
      </c>
      <c r="AA806" t="s">
        <v>43</v>
      </c>
      <c r="AB806" t="b">
        <v>1</v>
      </c>
      <c r="AD806" s="2"/>
    </row>
    <row r="807" spans="1:30" x14ac:dyDescent="0.25">
      <c r="A807">
        <v>806</v>
      </c>
      <c r="B807" t="s">
        <v>17</v>
      </c>
      <c r="C807" s="3">
        <v>36361</v>
      </c>
      <c r="D807" s="2">
        <f ca="1">DATEDIF(gym_membership[[#This Row],[birthday]],TODAY(),"y")</f>
        <v>27</v>
      </c>
      <c r="E807">
        <v>25</v>
      </c>
      <c r="F807" t="s">
        <v>18</v>
      </c>
      <c r="G807">
        <v>5</v>
      </c>
      <c r="H807" t="s">
        <v>176</v>
      </c>
      <c r="I807" t="s">
        <v>44</v>
      </c>
      <c r="J807" t="s">
        <v>26</v>
      </c>
      <c r="K807" t="s">
        <v>94</v>
      </c>
      <c r="L807" t="s">
        <v>95</v>
      </c>
      <c r="M807" t="s">
        <v>57</v>
      </c>
      <c r="N807" t="b">
        <v>0</v>
      </c>
      <c r="O807" t="s">
        <v>21</v>
      </c>
      <c r="S807" s="1">
        <v>0.67569444444444449</v>
      </c>
      <c r="T807" s="1">
        <v>0.78125</v>
      </c>
      <c r="U807">
        <v>152</v>
      </c>
      <c r="V807" t="b">
        <v>0</v>
      </c>
      <c r="W807" t="s">
        <v>21</v>
      </c>
      <c r="Z807" t="b">
        <v>0</v>
      </c>
      <c r="AA807" t="s">
        <v>456</v>
      </c>
      <c r="AB807" t="b">
        <v>0</v>
      </c>
      <c r="AD807" s="2"/>
    </row>
    <row r="808" spans="1:30" x14ac:dyDescent="0.25">
      <c r="A808">
        <v>807</v>
      </c>
      <c r="B808" t="s">
        <v>17</v>
      </c>
      <c r="C808" s="3">
        <v>30782</v>
      </c>
      <c r="D808" s="2">
        <f ca="1">DATEDIF(gym_membership[[#This Row],[birthday]],TODAY(),"y")</f>
        <v>42</v>
      </c>
      <c r="E808">
        <v>40</v>
      </c>
      <c r="F808" t="s">
        <v>18</v>
      </c>
      <c r="G808">
        <v>4</v>
      </c>
      <c r="H808" t="s">
        <v>200</v>
      </c>
      <c r="I808" t="s">
        <v>26</v>
      </c>
      <c r="J808" t="s">
        <v>94</v>
      </c>
      <c r="K808" t="s">
        <v>95</v>
      </c>
      <c r="L808" t="s">
        <v>57</v>
      </c>
      <c r="N808" t="b">
        <v>1</v>
      </c>
      <c r="O808" t="s">
        <v>103</v>
      </c>
      <c r="P808" t="s">
        <v>103</v>
      </c>
      <c r="S808" s="1">
        <v>0.81597222222222221</v>
      </c>
      <c r="T808" s="1">
        <v>0.88055555555555554</v>
      </c>
      <c r="U808">
        <v>93</v>
      </c>
      <c r="V808" t="b">
        <v>0</v>
      </c>
      <c r="W808" t="s">
        <v>21</v>
      </c>
      <c r="Z808" t="b">
        <v>0</v>
      </c>
      <c r="AA808" t="s">
        <v>456</v>
      </c>
      <c r="AB808" t="b">
        <v>0</v>
      </c>
      <c r="AD808" s="2"/>
    </row>
    <row r="809" spans="1:30" x14ac:dyDescent="0.25">
      <c r="A809">
        <v>808</v>
      </c>
      <c r="B809" t="s">
        <v>17</v>
      </c>
      <c r="C809" s="3">
        <v>35555</v>
      </c>
      <c r="D809" s="2">
        <f ca="1">DATEDIF(gym_membership[[#This Row],[birthday]],TODAY(),"y")</f>
        <v>29</v>
      </c>
      <c r="E809">
        <v>27</v>
      </c>
      <c r="F809" t="s">
        <v>18</v>
      </c>
      <c r="G809">
        <v>4</v>
      </c>
      <c r="H809" t="s">
        <v>244</v>
      </c>
      <c r="I809" t="s">
        <v>34</v>
      </c>
      <c r="J809" t="s">
        <v>94</v>
      </c>
      <c r="K809" t="s">
        <v>95</v>
      </c>
      <c r="L809" t="s">
        <v>77</v>
      </c>
      <c r="N809" t="b">
        <v>0</v>
      </c>
      <c r="O809" t="s">
        <v>21</v>
      </c>
      <c r="S809" s="1">
        <v>0.68888888888888888</v>
      </c>
      <c r="T809" s="1">
        <v>0.77916666666666667</v>
      </c>
      <c r="U809">
        <v>130</v>
      </c>
      <c r="V809" t="b">
        <v>1</v>
      </c>
      <c r="W809" t="s">
        <v>59</v>
      </c>
      <c r="X809" t="s">
        <v>59</v>
      </c>
      <c r="Z809" t="b">
        <v>1</v>
      </c>
      <c r="AA809" t="s">
        <v>45</v>
      </c>
      <c r="AB809" t="b">
        <v>0</v>
      </c>
      <c r="AD809" s="2"/>
    </row>
    <row r="810" spans="1:30" x14ac:dyDescent="0.25">
      <c r="A810">
        <v>809</v>
      </c>
      <c r="B810" t="s">
        <v>17</v>
      </c>
      <c r="C810" s="3">
        <v>32832</v>
      </c>
      <c r="D810" s="2">
        <f ca="1">DATEDIF(gym_membership[[#This Row],[birthday]],TODAY(),"y")</f>
        <v>36</v>
      </c>
      <c r="E810">
        <v>34</v>
      </c>
      <c r="F810" t="s">
        <v>18</v>
      </c>
      <c r="G810">
        <v>2</v>
      </c>
      <c r="H810" t="s">
        <v>132</v>
      </c>
      <c r="I810" t="s">
        <v>44</v>
      </c>
      <c r="J810" t="s">
        <v>94</v>
      </c>
      <c r="N810" t="b">
        <v>0</v>
      </c>
      <c r="O810" t="s">
        <v>21</v>
      </c>
      <c r="S810" s="1">
        <v>0.55902777777777779</v>
      </c>
      <c r="T810" s="1">
        <v>0.67847222222222225</v>
      </c>
      <c r="U810">
        <v>172</v>
      </c>
      <c r="V810" t="b">
        <v>1</v>
      </c>
      <c r="W810" t="s">
        <v>76</v>
      </c>
      <c r="X810" t="s">
        <v>76</v>
      </c>
      <c r="Z810" t="b">
        <v>0</v>
      </c>
      <c r="AA810" t="s">
        <v>456</v>
      </c>
      <c r="AB810" t="b">
        <v>0</v>
      </c>
      <c r="AD810" s="2"/>
    </row>
    <row r="811" spans="1:30" x14ac:dyDescent="0.25">
      <c r="A811">
        <v>810</v>
      </c>
      <c r="B811" t="s">
        <v>25</v>
      </c>
      <c r="C811" s="3">
        <v>34601</v>
      </c>
      <c r="D811" s="2">
        <f ca="1">DATEDIF(gym_membership[[#This Row],[birthday]],TODAY(),"y")</f>
        <v>31</v>
      </c>
      <c r="E811">
        <v>30</v>
      </c>
      <c r="F811" t="s">
        <v>18</v>
      </c>
      <c r="G811">
        <v>2</v>
      </c>
      <c r="H811" t="s">
        <v>48</v>
      </c>
      <c r="I811" t="s">
        <v>94</v>
      </c>
      <c r="J811" t="s">
        <v>77</v>
      </c>
      <c r="N811" t="b">
        <v>1</v>
      </c>
      <c r="O811" t="s">
        <v>392</v>
      </c>
      <c r="P811" t="s">
        <v>96</v>
      </c>
      <c r="Q811" t="s">
        <v>103</v>
      </c>
      <c r="R811" t="s">
        <v>128</v>
      </c>
      <c r="S811" s="1">
        <v>0.59652777777777777</v>
      </c>
      <c r="T811" s="1">
        <v>0.6791666666666667</v>
      </c>
      <c r="U811">
        <v>119</v>
      </c>
      <c r="V811" t="b">
        <v>1</v>
      </c>
      <c r="W811" t="s">
        <v>114</v>
      </c>
      <c r="X811" t="s">
        <v>59</v>
      </c>
      <c r="Y811" t="s">
        <v>76</v>
      </c>
      <c r="Z811" t="b">
        <v>1</v>
      </c>
      <c r="AA811" t="s">
        <v>24</v>
      </c>
      <c r="AB811" t="b">
        <v>0</v>
      </c>
      <c r="AD811" s="2"/>
    </row>
    <row r="812" spans="1:30" x14ac:dyDescent="0.25">
      <c r="A812">
        <v>811</v>
      </c>
      <c r="B812" t="s">
        <v>25</v>
      </c>
      <c r="C812" s="3">
        <v>34412</v>
      </c>
      <c r="D812" s="2">
        <f ca="1">DATEDIF(gym_membership[[#This Row],[birthday]],TODAY(),"y")</f>
        <v>32</v>
      </c>
      <c r="E812">
        <v>30</v>
      </c>
      <c r="F812" t="s">
        <v>18</v>
      </c>
      <c r="G812">
        <v>2</v>
      </c>
      <c r="H812" t="s">
        <v>89</v>
      </c>
      <c r="I812" t="s">
        <v>26</v>
      </c>
      <c r="J812" t="s">
        <v>95</v>
      </c>
      <c r="N812" t="b">
        <v>0</v>
      </c>
      <c r="O812" t="s">
        <v>21</v>
      </c>
      <c r="S812" s="1">
        <v>0.47083333333333333</v>
      </c>
      <c r="T812" s="1">
        <v>0.55208333333333337</v>
      </c>
      <c r="U812">
        <v>117</v>
      </c>
      <c r="V812" t="b">
        <v>0</v>
      </c>
      <c r="W812" t="s">
        <v>21</v>
      </c>
      <c r="Z812" t="b">
        <v>1</v>
      </c>
      <c r="AA812" t="s">
        <v>43</v>
      </c>
      <c r="AB812" t="b">
        <v>0</v>
      </c>
      <c r="AD812" s="2"/>
    </row>
    <row r="813" spans="1:30" x14ac:dyDescent="0.25">
      <c r="A813">
        <v>812</v>
      </c>
      <c r="B813" t="s">
        <v>25</v>
      </c>
      <c r="C813" s="3">
        <v>38518</v>
      </c>
      <c r="D813" s="2">
        <f ca="1">DATEDIF(gym_membership[[#This Row],[birthday]],TODAY(),"y")</f>
        <v>21</v>
      </c>
      <c r="E813">
        <v>19</v>
      </c>
      <c r="F813" t="s">
        <v>18</v>
      </c>
      <c r="G813">
        <v>1</v>
      </c>
      <c r="H813" t="s">
        <v>77</v>
      </c>
      <c r="I813" t="s">
        <v>77</v>
      </c>
      <c r="N813" t="b">
        <v>1</v>
      </c>
      <c r="O813" t="s">
        <v>91</v>
      </c>
      <c r="P813" t="s">
        <v>91</v>
      </c>
      <c r="S813" s="1">
        <v>0.60416666666666663</v>
      </c>
      <c r="T813" s="1">
        <v>0.72847222222222219</v>
      </c>
      <c r="U813">
        <v>179</v>
      </c>
      <c r="V813" t="b">
        <v>0</v>
      </c>
      <c r="W813" t="s">
        <v>21</v>
      </c>
      <c r="Z813" t="b">
        <v>1</v>
      </c>
      <c r="AA813" t="s">
        <v>45</v>
      </c>
      <c r="AB813" t="b">
        <v>1</v>
      </c>
      <c r="AD813" s="2"/>
    </row>
    <row r="814" spans="1:30" x14ac:dyDescent="0.25">
      <c r="A814">
        <v>813</v>
      </c>
      <c r="B814" t="s">
        <v>25</v>
      </c>
      <c r="C814" s="3">
        <v>27567</v>
      </c>
      <c r="D814" s="2">
        <f ca="1">DATEDIF(gym_membership[[#This Row],[birthday]],TODAY(),"y")</f>
        <v>51</v>
      </c>
      <c r="E814">
        <v>49</v>
      </c>
      <c r="F814" t="s">
        <v>22</v>
      </c>
      <c r="G814">
        <v>5</v>
      </c>
      <c r="H814" t="s">
        <v>195</v>
      </c>
      <c r="I814" t="s">
        <v>34</v>
      </c>
      <c r="J814" t="s">
        <v>26</v>
      </c>
      <c r="K814" t="s">
        <v>94</v>
      </c>
      <c r="L814" t="s">
        <v>95</v>
      </c>
      <c r="M814" t="s">
        <v>57</v>
      </c>
      <c r="N814" t="b">
        <v>0</v>
      </c>
      <c r="O814" t="s">
        <v>21</v>
      </c>
      <c r="S814" s="1">
        <v>0.58819444444444446</v>
      </c>
      <c r="T814" s="1">
        <v>0.62708333333333333</v>
      </c>
      <c r="U814">
        <v>56</v>
      </c>
      <c r="V814" t="b">
        <v>1</v>
      </c>
      <c r="W814" t="s">
        <v>217</v>
      </c>
      <c r="X814" t="s">
        <v>76</v>
      </c>
      <c r="Y814" t="s">
        <v>59</v>
      </c>
      <c r="Z814" t="b">
        <v>0</v>
      </c>
      <c r="AA814" t="s">
        <v>456</v>
      </c>
      <c r="AB814" t="b">
        <v>0</v>
      </c>
      <c r="AD814" s="2"/>
    </row>
    <row r="815" spans="1:30" x14ac:dyDescent="0.25">
      <c r="A815">
        <v>814</v>
      </c>
      <c r="B815" t="s">
        <v>17</v>
      </c>
      <c r="C815" s="3">
        <v>35412</v>
      </c>
      <c r="D815" s="2">
        <f ca="1">DATEDIF(gym_membership[[#This Row],[birthday]],TODAY(),"y")</f>
        <v>29</v>
      </c>
      <c r="E815">
        <v>27</v>
      </c>
      <c r="F815" t="s">
        <v>22</v>
      </c>
      <c r="G815">
        <v>1</v>
      </c>
      <c r="H815" t="s">
        <v>94</v>
      </c>
      <c r="I815" t="s">
        <v>94</v>
      </c>
      <c r="N815" t="b">
        <v>1</v>
      </c>
      <c r="O815" t="s">
        <v>100</v>
      </c>
      <c r="P815" t="s">
        <v>100</v>
      </c>
      <c r="S815" s="1">
        <v>0.64861111111111114</v>
      </c>
      <c r="T815" s="1">
        <v>0.74861111111111112</v>
      </c>
      <c r="U815">
        <v>144</v>
      </c>
      <c r="V815" t="b">
        <v>1</v>
      </c>
      <c r="W815" t="s">
        <v>76</v>
      </c>
      <c r="X815" t="s">
        <v>76</v>
      </c>
      <c r="Z815" t="b">
        <v>1</v>
      </c>
      <c r="AA815" t="s">
        <v>24</v>
      </c>
      <c r="AB815" t="b">
        <v>1</v>
      </c>
      <c r="AD815" s="2"/>
    </row>
    <row r="816" spans="1:30" x14ac:dyDescent="0.25">
      <c r="A816">
        <v>815</v>
      </c>
      <c r="B816" t="s">
        <v>17</v>
      </c>
      <c r="C816" s="3">
        <v>31630</v>
      </c>
      <c r="D816" s="2">
        <f ca="1">DATEDIF(gym_membership[[#This Row],[birthday]],TODAY(),"y")</f>
        <v>40</v>
      </c>
      <c r="E816">
        <v>38</v>
      </c>
      <c r="F816" t="s">
        <v>18</v>
      </c>
      <c r="G816">
        <v>1</v>
      </c>
      <c r="H816" t="s">
        <v>57</v>
      </c>
      <c r="I816" t="s">
        <v>57</v>
      </c>
      <c r="N816" t="b">
        <v>0</v>
      </c>
      <c r="O816" t="s">
        <v>21</v>
      </c>
      <c r="S816" s="1">
        <v>0.59166666666666667</v>
      </c>
      <c r="T816" s="1">
        <v>0.62430555555555556</v>
      </c>
      <c r="U816">
        <v>47</v>
      </c>
      <c r="V816" t="b">
        <v>0</v>
      </c>
      <c r="W816" t="s">
        <v>21</v>
      </c>
      <c r="Z816" t="b">
        <v>0</v>
      </c>
      <c r="AA816" t="s">
        <v>456</v>
      </c>
      <c r="AB816" t="b">
        <v>0</v>
      </c>
      <c r="AD816" s="2"/>
    </row>
    <row r="817" spans="1:30" x14ac:dyDescent="0.25">
      <c r="A817">
        <v>816</v>
      </c>
      <c r="B817" t="s">
        <v>25</v>
      </c>
      <c r="C817" s="3">
        <v>28273</v>
      </c>
      <c r="D817" s="2">
        <f ca="1">DATEDIF(gym_membership[[#This Row],[birthday]],TODAY(),"y")</f>
        <v>49</v>
      </c>
      <c r="E817">
        <v>47</v>
      </c>
      <c r="F817" t="s">
        <v>22</v>
      </c>
      <c r="G817">
        <v>2</v>
      </c>
      <c r="H817" t="s">
        <v>89</v>
      </c>
      <c r="I817" t="s">
        <v>26</v>
      </c>
      <c r="J817" t="s">
        <v>95</v>
      </c>
      <c r="N817" t="b">
        <v>0</v>
      </c>
      <c r="O817" t="s">
        <v>21</v>
      </c>
      <c r="S817" s="1">
        <v>0.51249999999999996</v>
      </c>
      <c r="T817" s="1">
        <v>0.56458333333333333</v>
      </c>
      <c r="U817">
        <v>75</v>
      </c>
      <c r="V817" t="b">
        <v>1</v>
      </c>
      <c r="W817" t="s">
        <v>59</v>
      </c>
      <c r="X817" t="s">
        <v>59</v>
      </c>
      <c r="Z817" t="b">
        <v>1</v>
      </c>
      <c r="AA817" t="s">
        <v>29</v>
      </c>
      <c r="AB817" t="b">
        <v>0</v>
      </c>
      <c r="AD817" s="2"/>
    </row>
    <row r="818" spans="1:30" x14ac:dyDescent="0.25">
      <c r="A818">
        <v>817</v>
      </c>
      <c r="B818" t="s">
        <v>17</v>
      </c>
      <c r="C818" s="3">
        <v>31290</v>
      </c>
      <c r="D818" s="2">
        <f ca="1">DATEDIF(gym_membership[[#This Row],[birthday]],TODAY(),"y")</f>
        <v>40</v>
      </c>
      <c r="E818">
        <v>39</v>
      </c>
      <c r="F818" t="s">
        <v>22</v>
      </c>
      <c r="G818">
        <v>3</v>
      </c>
      <c r="H818" t="s">
        <v>84</v>
      </c>
      <c r="I818" t="s">
        <v>26</v>
      </c>
      <c r="J818" t="s">
        <v>94</v>
      </c>
      <c r="K818" t="s">
        <v>57</v>
      </c>
      <c r="N818" t="b">
        <v>0</v>
      </c>
      <c r="O818" t="s">
        <v>21</v>
      </c>
      <c r="S818" s="1">
        <v>0.71250000000000002</v>
      </c>
      <c r="T818" s="1">
        <v>0.75694444444444442</v>
      </c>
      <c r="U818">
        <v>64</v>
      </c>
      <c r="V818" t="b">
        <v>1</v>
      </c>
      <c r="W818" t="s">
        <v>39</v>
      </c>
      <c r="X818" t="s">
        <v>39</v>
      </c>
      <c r="Z818" t="b">
        <v>1</v>
      </c>
      <c r="AA818" t="s">
        <v>43</v>
      </c>
      <c r="AB818" t="b">
        <v>0</v>
      </c>
      <c r="AD818" s="2"/>
    </row>
    <row r="819" spans="1:30" x14ac:dyDescent="0.25">
      <c r="A819">
        <v>818</v>
      </c>
      <c r="B819" t="s">
        <v>25</v>
      </c>
      <c r="C819" s="3">
        <v>39067</v>
      </c>
      <c r="D819" s="2">
        <f ca="1">DATEDIF(gym_membership[[#This Row],[birthday]],TODAY(),"y")</f>
        <v>19</v>
      </c>
      <c r="E819">
        <v>17</v>
      </c>
      <c r="F819" t="s">
        <v>22</v>
      </c>
      <c r="G819">
        <v>3</v>
      </c>
      <c r="H819" t="s">
        <v>274</v>
      </c>
      <c r="I819" t="s">
        <v>44</v>
      </c>
      <c r="J819" t="s">
        <v>34</v>
      </c>
      <c r="K819" t="s">
        <v>57</v>
      </c>
      <c r="N819" t="b">
        <v>1</v>
      </c>
      <c r="O819" t="s">
        <v>393</v>
      </c>
      <c r="P819" t="s">
        <v>58</v>
      </c>
      <c r="Q819" t="s">
        <v>128</v>
      </c>
      <c r="R819" t="s">
        <v>41</v>
      </c>
      <c r="S819" s="1">
        <v>0.49375000000000002</v>
      </c>
      <c r="T819" s="1">
        <v>0.60416666666666663</v>
      </c>
      <c r="U819">
        <v>159</v>
      </c>
      <c r="V819" t="b">
        <v>0</v>
      </c>
      <c r="W819" t="s">
        <v>21</v>
      </c>
      <c r="Z819" t="b">
        <v>0</v>
      </c>
      <c r="AA819" t="s">
        <v>456</v>
      </c>
      <c r="AB819" t="b">
        <v>1</v>
      </c>
      <c r="AD819" s="2"/>
    </row>
    <row r="820" spans="1:30" x14ac:dyDescent="0.25">
      <c r="A820">
        <v>819</v>
      </c>
      <c r="B820" t="s">
        <v>17</v>
      </c>
      <c r="C820" s="3">
        <v>37939</v>
      </c>
      <c r="D820" s="2">
        <f ca="1">DATEDIF(gym_membership[[#This Row],[birthday]],TODAY(),"y")</f>
        <v>22</v>
      </c>
      <c r="E820">
        <v>20</v>
      </c>
      <c r="F820" t="s">
        <v>22</v>
      </c>
      <c r="G820">
        <v>3</v>
      </c>
      <c r="H820" t="s">
        <v>104</v>
      </c>
      <c r="I820" t="s">
        <v>44</v>
      </c>
      <c r="J820" t="s">
        <v>95</v>
      </c>
      <c r="K820" t="s">
        <v>57</v>
      </c>
      <c r="N820" t="b">
        <v>0</v>
      </c>
      <c r="O820" t="s">
        <v>21</v>
      </c>
      <c r="S820" s="1">
        <v>0.34930555555555554</v>
      </c>
      <c r="T820" s="1">
        <v>0.47361111111111109</v>
      </c>
      <c r="U820">
        <v>179</v>
      </c>
      <c r="V820" t="b">
        <v>0</v>
      </c>
      <c r="W820" t="s">
        <v>21</v>
      </c>
      <c r="Z820" t="b">
        <v>0</v>
      </c>
      <c r="AA820" t="s">
        <v>456</v>
      </c>
      <c r="AB820" t="b">
        <v>0</v>
      </c>
      <c r="AD820" s="2"/>
    </row>
    <row r="821" spans="1:30" x14ac:dyDescent="0.25">
      <c r="A821">
        <v>820</v>
      </c>
      <c r="B821" t="s">
        <v>17</v>
      </c>
      <c r="C821" s="3">
        <v>40007</v>
      </c>
      <c r="D821" s="2">
        <f ca="1">DATEDIF(gym_membership[[#This Row],[birthday]],TODAY(),"y")</f>
        <v>17</v>
      </c>
      <c r="E821">
        <v>15</v>
      </c>
      <c r="F821" t="s">
        <v>22</v>
      </c>
      <c r="G821">
        <v>3</v>
      </c>
      <c r="H821" t="s">
        <v>123</v>
      </c>
      <c r="I821" t="s">
        <v>44</v>
      </c>
      <c r="J821" t="s">
        <v>94</v>
      </c>
      <c r="K821" t="s">
        <v>95</v>
      </c>
      <c r="N821" t="b">
        <v>0</v>
      </c>
      <c r="O821" t="s">
        <v>21</v>
      </c>
      <c r="S821" s="1">
        <v>0.60624999999999996</v>
      </c>
      <c r="T821" s="1">
        <v>0.7</v>
      </c>
      <c r="U821">
        <v>135</v>
      </c>
      <c r="V821" t="b">
        <v>0</v>
      </c>
      <c r="W821" t="s">
        <v>21</v>
      </c>
      <c r="Z821" t="b">
        <v>0</v>
      </c>
      <c r="AA821" t="s">
        <v>456</v>
      </c>
      <c r="AB821" t="b">
        <v>1</v>
      </c>
      <c r="AD821" s="2"/>
    </row>
    <row r="822" spans="1:30" x14ac:dyDescent="0.25">
      <c r="A822">
        <v>821</v>
      </c>
      <c r="B822" t="s">
        <v>17</v>
      </c>
      <c r="C822" s="3">
        <v>31642</v>
      </c>
      <c r="D822" s="2">
        <f ca="1">DATEDIF(gym_membership[[#This Row],[birthday]],TODAY(),"y")</f>
        <v>40</v>
      </c>
      <c r="E822">
        <v>38</v>
      </c>
      <c r="F822" t="s">
        <v>18</v>
      </c>
      <c r="G822">
        <v>3</v>
      </c>
      <c r="H822" t="s">
        <v>149</v>
      </c>
      <c r="I822" t="s">
        <v>26</v>
      </c>
      <c r="J822" t="s">
        <v>94</v>
      </c>
      <c r="K822" t="s">
        <v>77</v>
      </c>
      <c r="N822" t="b">
        <v>1</v>
      </c>
      <c r="O822" t="s">
        <v>27</v>
      </c>
      <c r="P822" t="s">
        <v>27</v>
      </c>
      <c r="S822" s="1">
        <v>0.55555555555555558</v>
      </c>
      <c r="T822" s="1">
        <v>0.61250000000000004</v>
      </c>
      <c r="U822">
        <v>82</v>
      </c>
      <c r="V822" t="b">
        <v>0</v>
      </c>
      <c r="W822" t="s">
        <v>21</v>
      </c>
      <c r="Z822" t="b">
        <v>0</v>
      </c>
      <c r="AA822" t="s">
        <v>456</v>
      </c>
      <c r="AB822" t="b">
        <v>0</v>
      </c>
      <c r="AD822" s="2"/>
    </row>
    <row r="823" spans="1:30" x14ac:dyDescent="0.25">
      <c r="A823">
        <v>822</v>
      </c>
      <c r="B823" t="s">
        <v>25</v>
      </c>
      <c r="C823" s="3">
        <v>27678</v>
      </c>
      <c r="D823" s="2">
        <f ca="1">DATEDIF(gym_membership[[#This Row],[birthday]],TODAY(),"y")</f>
        <v>50</v>
      </c>
      <c r="E823">
        <v>49</v>
      </c>
      <c r="F823" t="s">
        <v>18</v>
      </c>
      <c r="G823">
        <v>3</v>
      </c>
      <c r="H823" t="s">
        <v>145</v>
      </c>
      <c r="I823" t="s">
        <v>34</v>
      </c>
      <c r="J823" t="s">
        <v>26</v>
      </c>
      <c r="K823" t="s">
        <v>94</v>
      </c>
      <c r="N823" t="b">
        <v>0</v>
      </c>
      <c r="O823" t="s">
        <v>21</v>
      </c>
      <c r="S823" s="1">
        <v>0.82222222222222219</v>
      </c>
      <c r="T823" s="1">
        <v>0.85138888888888886</v>
      </c>
      <c r="U823">
        <v>42</v>
      </c>
      <c r="V823" t="b">
        <v>1</v>
      </c>
      <c r="W823" t="s">
        <v>52</v>
      </c>
      <c r="X823" t="s">
        <v>59</v>
      </c>
      <c r="Y823" t="s">
        <v>51</v>
      </c>
      <c r="Z823" t="b">
        <v>1</v>
      </c>
      <c r="AA823" t="s">
        <v>24</v>
      </c>
      <c r="AB823" t="b">
        <v>1</v>
      </c>
      <c r="AD823" s="2"/>
    </row>
    <row r="824" spans="1:30" x14ac:dyDescent="0.25">
      <c r="A824">
        <v>823</v>
      </c>
      <c r="B824" t="s">
        <v>17</v>
      </c>
      <c r="C824" s="3">
        <v>34991</v>
      </c>
      <c r="D824" s="2">
        <f ca="1">DATEDIF(gym_membership[[#This Row],[birthday]],TODAY(),"y")</f>
        <v>30</v>
      </c>
      <c r="E824">
        <v>28</v>
      </c>
      <c r="F824" t="s">
        <v>22</v>
      </c>
      <c r="G824">
        <v>4</v>
      </c>
      <c r="H824" t="s">
        <v>309</v>
      </c>
      <c r="I824" t="s">
        <v>44</v>
      </c>
      <c r="J824" t="s">
        <v>26</v>
      </c>
      <c r="K824" t="s">
        <v>94</v>
      </c>
      <c r="L824" t="s">
        <v>77</v>
      </c>
      <c r="N824" t="b">
        <v>0</v>
      </c>
      <c r="O824" t="s">
        <v>21</v>
      </c>
      <c r="S824" s="1">
        <v>0.68958333333333333</v>
      </c>
      <c r="T824" s="1">
        <v>0.71597222222222223</v>
      </c>
      <c r="U824">
        <v>38</v>
      </c>
      <c r="V824" t="b">
        <v>0</v>
      </c>
      <c r="W824" t="s">
        <v>21</v>
      </c>
      <c r="Z824" t="b">
        <v>0</v>
      </c>
      <c r="AA824" t="s">
        <v>456</v>
      </c>
      <c r="AB824" t="b">
        <v>1</v>
      </c>
      <c r="AD824" s="2"/>
    </row>
    <row r="825" spans="1:30" x14ac:dyDescent="0.25">
      <c r="A825">
        <v>824</v>
      </c>
      <c r="B825" t="s">
        <v>17</v>
      </c>
      <c r="C825" s="3">
        <v>31614</v>
      </c>
      <c r="D825" s="2">
        <f ca="1">DATEDIF(gym_membership[[#This Row],[birthday]],TODAY(),"y")</f>
        <v>40</v>
      </c>
      <c r="E825">
        <v>38</v>
      </c>
      <c r="F825" t="s">
        <v>22</v>
      </c>
      <c r="G825">
        <v>5</v>
      </c>
      <c r="H825" t="s">
        <v>176</v>
      </c>
      <c r="I825" t="s">
        <v>44</v>
      </c>
      <c r="J825" t="s">
        <v>26</v>
      </c>
      <c r="K825" t="s">
        <v>94</v>
      </c>
      <c r="L825" t="s">
        <v>95</v>
      </c>
      <c r="M825" t="s">
        <v>57</v>
      </c>
      <c r="N825" t="b">
        <v>0</v>
      </c>
      <c r="O825" t="s">
        <v>21</v>
      </c>
      <c r="S825" s="1">
        <v>0.74930555555555556</v>
      </c>
      <c r="T825" s="1">
        <v>0.87083333333333335</v>
      </c>
      <c r="U825">
        <v>175</v>
      </c>
      <c r="V825" t="b">
        <v>1</v>
      </c>
      <c r="W825" t="s">
        <v>31</v>
      </c>
      <c r="X825" t="s">
        <v>31</v>
      </c>
      <c r="Z825" t="b">
        <v>0</v>
      </c>
      <c r="AA825" t="s">
        <v>456</v>
      </c>
      <c r="AB825" t="b">
        <v>1</v>
      </c>
      <c r="AD825" s="2"/>
    </row>
    <row r="826" spans="1:30" x14ac:dyDescent="0.25">
      <c r="A826">
        <v>825</v>
      </c>
      <c r="B826" t="s">
        <v>25</v>
      </c>
      <c r="C826" s="3">
        <v>27605</v>
      </c>
      <c r="D826" s="2">
        <f ca="1">DATEDIF(gym_membership[[#This Row],[birthday]],TODAY(),"y")</f>
        <v>51</v>
      </c>
      <c r="E826">
        <v>49</v>
      </c>
      <c r="F826" t="s">
        <v>18</v>
      </c>
      <c r="G826">
        <v>3</v>
      </c>
      <c r="H826" t="s">
        <v>84</v>
      </c>
      <c r="I826" t="s">
        <v>26</v>
      </c>
      <c r="J826" t="s">
        <v>94</v>
      </c>
      <c r="K826" t="s">
        <v>57</v>
      </c>
      <c r="N826" t="b">
        <v>1</v>
      </c>
      <c r="O826" t="s">
        <v>243</v>
      </c>
      <c r="P826" t="s">
        <v>72</v>
      </c>
      <c r="Q826" t="s">
        <v>41</v>
      </c>
      <c r="S826" s="1">
        <v>0.45347222222222222</v>
      </c>
      <c r="T826" s="1">
        <v>0.56180555555555556</v>
      </c>
      <c r="U826">
        <v>156</v>
      </c>
      <c r="V826" t="b">
        <v>0</v>
      </c>
      <c r="W826" t="s">
        <v>21</v>
      </c>
      <c r="Z826" t="b">
        <v>1</v>
      </c>
      <c r="AA826" t="s">
        <v>29</v>
      </c>
      <c r="AB826" t="b">
        <v>0</v>
      </c>
      <c r="AD826" s="2"/>
    </row>
    <row r="827" spans="1:30" x14ac:dyDescent="0.25">
      <c r="A827">
        <v>826</v>
      </c>
      <c r="B827" t="s">
        <v>17</v>
      </c>
      <c r="C827" s="3">
        <v>33660</v>
      </c>
      <c r="D827" s="2">
        <f ca="1">DATEDIF(gym_membership[[#This Row],[birthday]],TODAY(),"y")</f>
        <v>34</v>
      </c>
      <c r="E827">
        <v>32</v>
      </c>
      <c r="F827" t="s">
        <v>22</v>
      </c>
      <c r="G827">
        <v>1</v>
      </c>
      <c r="H827" t="s">
        <v>26</v>
      </c>
      <c r="I827" t="s">
        <v>26</v>
      </c>
      <c r="N827" t="b">
        <v>0</v>
      </c>
      <c r="O827" t="s">
        <v>21</v>
      </c>
      <c r="S827" s="1">
        <v>0.74861111111111112</v>
      </c>
      <c r="T827" s="1">
        <v>0.83194444444444449</v>
      </c>
      <c r="U827">
        <v>120</v>
      </c>
      <c r="V827" t="b">
        <v>1</v>
      </c>
      <c r="W827" t="s">
        <v>65</v>
      </c>
      <c r="X827" t="s">
        <v>65</v>
      </c>
      <c r="Z827" t="b">
        <v>0</v>
      </c>
      <c r="AA827" t="s">
        <v>456</v>
      </c>
      <c r="AB827" t="b">
        <v>1</v>
      </c>
      <c r="AD827" s="2"/>
    </row>
    <row r="828" spans="1:30" x14ac:dyDescent="0.25">
      <c r="A828">
        <v>827</v>
      </c>
      <c r="B828" t="s">
        <v>25</v>
      </c>
      <c r="C828" s="3">
        <v>38776</v>
      </c>
      <c r="D828" s="2">
        <f ca="1">DATEDIF(gym_membership[[#This Row],[birthday]],TODAY(),"y")</f>
        <v>20</v>
      </c>
      <c r="E828">
        <v>18</v>
      </c>
      <c r="F828" t="s">
        <v>22</v>
      </c>
      <c r="G828">
        <v>3</v>
      </c>
      <c r="H828" t="s">
        <v>185</v>
      </c>
      <c r="I828" t="s">
        <v>34</v>
      </c>
      <c r="J828" t="s">
        <v>95</v>
      </c>
      <c r="K828" t="s">
        <v>77</v>
      </c>
      <c r="N828" t="b">
        <v>1</v>
      </c>
      <c r="O828" t="s">
        <v>128</v>
      </c>
      <c r="P828" t="s">
        <v>128</v>
      </c>
      <c r="S828" s="1">
        <v>0.60624999999999996</v>
      </c>
      <c r="T828" s="1">
        <v>0.64930555555555558</v>
      </c>
      <c r="U828">
        <v>62</v>
      </c>
      <c r="V828" t="b">
        <v>0</v>
      </c>
      <c r="W828" t="s">
        <v>21</v>
      </c>
      <c r="Z828" t="b">
        <v>0</v>
      </c>
      <c r="AA828" t="s">
        <v>456</v>
      </c>
      <c r="AB828" t="b">
        <v>0</v>
      </c>
      <c r="AD828" s="2"/>
    </row>
    <row r="829" spans="1:30" x14ac:dyDescent="0.25">
      <c r="A829">
        <v>828</v>
      </c>
      <c r="B829" t="s">
        <v>17</v>
      </c>
      <c r="C829" s="3">
        <v>38807</v>
      </c>
      <c r="D829" s="2">
        <f ca="1">DATEDIF(gym_membership[[#This Row],[birthday]],TODAY(),"y")</f>
        <v>20</v>
      </c>
      <c r="E829">
        <v>18</v>
      </c>
      <c r="F829" t="s">
        <v>18</v>
      </c>
      <c r="G829">
        <v>2</v>
      </c>
      <c r="H829" t="s">
        <v>106</v>
      </c>
      <c r="I829" t="s">
        <v>26</v>
      </c>
      <c r="J829" t="s">
        <v>57</v>
      </c>
      <c r="N829" t="b">
        <v>1</v>
      </c>
      <c r="O829" t="s">
        <v>305</v>
      </c>
      <c r="P829" t="s">
        <v>103</v>
      </c>
      <c r="Q829" t="s">
        <v>100</v>
      </c>
      <c r="S829" s="1">
        <v>0.66180555555555554</v>
      </c>
      <c r="T829" s="1">
        <v>0.6958333333333333</v>
      </c>
      <c r="U829">
        <v>49</v>
      </c>
      <c r="V829" t="b">
        <v>0</v>
      </c>
      <c r="W829" t="s">
        <v>21</v>
      </c>
      <c r="Z829" t="b">
        <v>1</v>
      </c>
      <c r="AA829" t="s">
        <v>45</v>
      </c>
      <c r="AB829" t="b">
        <v>0</v>
      </c>
      <c r="AD829" s="2"/>
    </row>
    <row r="830" spans="1:30" x14ac:dyDescent="0.25">
      <c r="A830">
        <v>829</v>
      </c>
      <c r="B830" t="s">
        <v>25</v>
      </c>
      <c r="C830" s="3">
        <v>30854</v>
      </c>
      <c r="D830" s="2">
        <f ca="1">DATEDIF(gym_membership[[#This Row],[birthday]],TODAY(),"y")</f>
        <v>42</v>
      </c>
      <c r="E830">
        <v>40</v>
      </c>
      <c r="F830" t="s">
        <v>18</v>
      </c>
      <c r="G830">
        <v>2</v>
      </c>
      <c r="H830" t="s">
        <v>60</v>
      </c>
      <c r="I830" t="s">
        <v>26</v>
      </c>
      <c r="J830" t="s">
        <v>77</v>
      </c>
      <c r="N830" t="b">
        <v>1</v>
      </c>
      <c r="O830" t="s">
        <v>182</v>
      </c>
      <c r="P830" t="s">
        <v>120</v>
      </c>
      <c r="Q830" t="s">
        <v>41</v>
      </c>
      <c r="S830" s="1">
        <v>0.40277777777777779</v>
      </c>
      <c r="T830" s="1">
        <v>0.42916666666666664</v>
      </c>
      <c r="U830">
        <v>38</v>
      </c>
      <c r="V830" t="b">
        <v>0</v>
      </c>
      <c r="W830" t="s">
        <v>21</v>
      </c>
      <c r="Z830" t="b">
        <v>1</v>
      </c>
      <c r="AA830" t="s">
        <v>45</v>
      </c>
      <c r="AB830" t="b">
        <v>1</v>
      </c>
      <c r="AD830" s="2"/>
    </row>
    <row r="831" spans="1:30" x14ac:dyDescent="0.25">
      <c r="A831">
        <v>830</v>
      </c>
      <c r="B831" t="s">
        <v>25</v>
      </c>
      <c r="C831" s="3">
        <v>30040</v>
      </c>
      <c r="D831" s="2">
        <f ca="1">DATEDIF(gym_membership[[#This Row],[birthday]],TODAY(),"y")</f>
        <v>44</v>
      </c>
      <c r="E831">
        <v>42</v>
      </c>
      <c r="F831" t="s">
        <v>18</v>
      </c>
      <c r="G831">
        <v>5</v>
      </c>
      <c r="H831" t="s">
        <v>129</v>
      </c>
      <c r="I831" t="s">
        <v>34</v>
      </c>
      <c r="J831" t="s">
        <v>26</v>
      </c>
      <c r="K831" t="s">
        <v>94</v>
      </c>
      <c r="L831" t="s">
        <v>95</v>
      </c>
      <c r="M831" t="s">
        <v>77</v>
      </c>
      <c r="N831" t="b">
        <v>1</v>
      </c>
      <c r="O831" t="s">
        <v>394</v>
      </c>
      <c r="P831" t="s">
        <v>91</v>
      </c>
      <c r="Q831" t="s">
        <v>27</v>
      </c>
      <c r="R831" t="s">
        <v>41</v>
      </c>
      <c r="S831" s="1">
        <v>0.50347222222222221</v>
      </c>
      <c r="T831" s="1">
        <v>0.59305555555555556</v>
      </c>
      <c r="U831">
        <v>129</v>
      </c>
      <c r="V831" t="b">
        <v>1</v>
      </c>
      <c r="W831" t="s">
        <v>73</v>
      </c>
      <c r="X831" t="s">
        <v>76</v>
      </c>
      <c r="Y831" t="s">
        <v>31</v>
      </c>
      <c r="Z831" t="b">
        <v>1</v>
      </c>
      <c r="AA831" t="s">
        <v>29</v>
      </c>
      <c r="AB831" t="b">
        <v>0</v>
      </c>
      <c r="AD831" s="2"/>
    </row>
    <row r="832" spans="1:30" x14ac:dyDescent="0.25">
      <c r="A832">
        <v>831</v>
      </c>
      <c r="B832" t="s">
        <v>25</v>
      </c>
      <c r="C832" s="3">
        <v>35335</v>
      </c>
      <c r="D832" s="2">
        <f ca="1">DATEDIF(gym_membership[[#This Row],[birthday]],TODAY(),"y")</f>
        <v>29</v>
      </c>
      <c r="E832">
        <v>28</v>
      </c>
      <c r="F832" t="s">
        <v>22</v>
      </c>
      <c r="G832">
        <v>4</v>
      </c>
      <c r="H832" t="s">
        <v>225</v>
      </c>
      <c r="I832" t="s">
        <v>44</v>
      </c>
      <c r="J832" t="s">
        <v>26</v>
      </c>
      <c r="K832" t="s">
        <v>95</v>
      </c>
      <c r="L832" t="s">
        <v>77</v>
      </c>
      <c r="N832" t="b">
        <v>0</v>
      </c>
      <c r="O832" t="s">
        <v>21</v>
      </c>
      <c r="S832" s="1">
        <v>0.39930555555555558</v>
      </c>
      <c r="T832" s="1">
        <v>0.49722222222222223</v>
      </c>
      <c r="U832">
        <v>141</v>
      </c>
      <c r="V832" t="b">
        <v>1</v>
      </c>
      <c r="W832" t="s">
        <v>76</v>
      </c>
      <c r="X832" t="s">
        <v>76</v>
      </c>
      <c r="Z832" t="b">
        <v>1</v>
      </c>
      <c r="AA832" t="s">
        <v>29</v>
      </c>
      <c r="AB832" t="b">
        <v>1</v>
      </c>
      <c r="AD832" s="2"/>
    </row>
    <row r="833" spans="1:30" x14ac:dyDescent="0.25">
      <c r="A833">
        <v>832</v>
      </c>
      <c r="B833" t="s">
        <v>17</v>
      </c>
      <c r="C833" s="3">
        <v>39656</v>
      </c>
      <c r="D833" s="2">
        <f ca="1">DATEDIF(gym_membership[[#This Row],[birthday]],TODAY(),"y")</f>
        <v>18</v>
      </c>
      <c r="E833">
        <v>16</v>
      </c>
      <c r="F833" t="s">
        <v>18</v>
      </c>
      <c r="G833">
        <v>1</v>
      </c>
      <c r="H833" t="s">
        <v>77</v>
      </c>
      <c r="I833" t="s">
        <v>77</v>
      </c>
      <c r="N833" t="b">
        <v>0</v>
      </c>
      <c r="O833" t="s">
        <v>21</v>
      </c>
      <c r="S833" s="1">
        <v>0.36180555555555555</v>
      </c>
      <c r="T833" s="1">
        <v>0.48125000000000001</v>
      </c>
      <c r="U833">
        <v>172</v>
      </c>
      <c r="V833" t="b">
        <v>0</v>
      </c>
      <c r="W833" t="s">
        <v>21</v>
      </c>
      <c r="Z833" t="b">
        <v>0</v>
      </c>
      <c r="AA833" t="s">
        <v>456</v>
      </c>
      <c r="AB833" t="b">
        <v>1</v>
      </c>
      <c r="AD833" s="2"/>
    </row>
    <row r="834" spans="1:30" x14ac:dyDescent="0.25">
      <c r="A834">
        <v>833</v>
      </c>
      <c r="B834" t="s">
        <v>17</v>
      </c>
      <c r="C834" s="3">
        <v>36486</v>
      </c>
      <c r="D834" s="2">
        <f ca="1">DATEDIF(gym_membership[[#This Row],[birthday]],TODAY(),"y")</f>
        <v>26</v>
      </c>
      <c r="E834">
        <v>24</v>
      </c>
      <c r="F834" t="s">
        <v>22</v>
      </c>
      <c r="G834">
        <v>2</v>
      </c>
      <c r="H834" t="s">
        <v>126</v>
      </c>
      <c r="I834" t="s">
        <v>94</v>
      </c>
      <c r="J834" t="s">
        <v>57</v>
      </c>
      <c r="N834" t="b">
        <v>1</v>
      </c>
      <c r="O834" t="s">
        <v>395</v>
      </c>
      <c r="P834" t="s">
        <v>96</v>
      </c>
      <c r="Q834" t="s">
        <v>58</v>
      </c>
      <c r="S834" s="1">
        <v>0.73888888888888893</v>
      </c>
      <c r="T834" s="1">
        <v>0.83472222222222225</v>
      </c>
      <c r="U834">
        <v>138</v>
      </c>
      <c r="V834" t="b">
        <v>0</v>
      </c>
      <c r="W834" t="s">
        <v>21</v>
      </c>
      <c r="Z834" t="b">
        <v>1</v>
      </c>
      <c r="AA834" t="s">
        <v>45</v>
      </c>
      <c r="AB834" t="b">
        <v>1</v>
      </c>
      <c r="AD834" s="2"/>
    </row>
    <row r="835" spans="1:30" x14ac:dyDescent="0.25">
      <c r="A835">
        <v>834</v>
      </c>
      <c r="B835" t="s">
        <v>25</v>
      </c>
      <c r="C835" s="3">
        <v>40265</v>
      </c>
      <c r="D835" s="2">
        <f ca="1">DATEDIF(gym_membership[[#This Row],[birthday]],TODAY(),"y")</f>
        <v>16</v>
      </c>
      <c r="E835">
        <v>14</v>
      </c>
      <c r="F835" t="s">
        <v>22</v>
      </c>
      <c r="G835">
        <v>3</v>
      </c>
      <c r="H835" t="s">
        <v>149</v>
      </c>
      <c r="I835" t="s">
        <v>26</v>
      </c>
      <c r="J835" t="s">
        <v>94</v>
      </c>
      <c r="K835" t="s">
        <v>77</v>
      </c>
      <c r="N835" t="b">
        <v>0</v>
      </c>
      <c r="O835" t="s">
        <v>21</v>
      </c>
      <c r="S835" s="1">
        <v>0.80277777777777781</v>
      </c>
      <c r="T835" s="1">
        <v>0.92569444444444449</v>
      </c>
      <c r="U835">
        <v>177</v>
      </c>
      <c r="V835" t="b">
        <v>1</v>
      </c>
      <c r="W835" t="s">
        <v>31</v>
      </c>
      <c r="X835" t="s">
        <v>31</v>
      </c>
      <c r="Z835" t="b">
        <v>1</v>
      </c>
      <c r="AA835" t="s">
        <v>45</v>
      </c>
      <c r="AB835" t="b">
        <v>0</v>
      </c>
      <c r="AD835" s="2"/>
    </row>
    <row r="836" spans="1:30" x14ac:dyDescent="0.25">
      <c r="A836">
        <v>835</v>
      </c>
      <c r="B836" t="s">
        <v>17</v>
      </c>
      <c r="C836" s="3">
        <v>37933</v>
      </c>
      <c r="D836" s="2">
        <f ca="1">DATEDIF(gym_membership[[#This Row],[birthday]],TODAY(),"y")</f>
        <v>22</v>
      </c>
      <c r="E836">
        <v>20</v>
      </c>
      <c r="F836" t="s">
        <v>18</v>
      </c>
      <c r="G836">
        <v>3</v>
      </c>
      <c r="H836" t="s">
        <v>104</v>
      </c>
      <c r="I836" t="s">
        <v>44</v>
      </c>
      <c r="J836" t="s">
        <v>95</v>
      </c>
      <c r="K836" t="s">
        <v>57</v>
      </c>
      <c r="N836" t="b">
        <v>0</v>
      </c>
      <c r="O836" t="s">
        <v>21</v>
      </c>
      <c r="S836" s="1">
        <v>0.65069444444444446</v>
      </c>
      <c r="T836" s="1">
        <v>0.75486111111111109</v>
      </c>
      <c r="U836">
        <v>150</v>
      </c>
      <c r="V836" t="b">
        <v>0</v>
      </c>
      <c r="W836" t="s">
        <v>21</v>
      </c>
      <c r="Z836" t="b">
        <v>1</v>
      </c>
      <c r="AA836" t="s">
        <v>45</v>
      </c>
      <c r="AB836" t="b">
        <v>0</v>
      </c>
      <c r="AD836" s="2"/>
    </row>
    <row r="837" spans="1:30" x14ac:dyDescent="0.25">
      <c r="A837">
        <v>836</v>
      </c>
      <c r="B837" t="s">
        <v>17</v>
      </c>
      <c r="C837" s="3">
        <v>30579</v>
      </c>
      <c r="D837" s="2">
        <f ca="1">DATEDIF(gym_membership[[#This Row],[birthday]],TODAY(),"y")</f>
        <v>42</v>
      </c>
      <c r="E837">
        <v>41</v>
      </c>
      <c r="F837" t="s">
        <v>22</v>
      </c>
      <c r="G837">
        <v>1</v>
      </c>
      <c r="H837" t="s">
        <v>44</v>
      </c>
      <c r="I837" t="s">
        <v>44</v>
      </c>
      <c r="N837" t="b">
        <v>1</v>
      </c>
      <c r="O837" t="s">
        <v>157</v>
      </c>
      <c r="P837" t="s">
        <v>67</v>
      </c>
      <c r="Q837" t="s">
        <v>91</v>
      </c>
      <c r="S837" s="1">
        <v>0.40694444444444444</v>
      </c>
      <c r="T837" s="1">
        <v>0.46527777777777779</v>
      </c>
      <c r="U837">
        <v>84</v>
      </c>
      <c r="V837" t="b">
        <v>1</v>
      </c>
      <c r="W837" t="s">
        <v>51</v>
      </c>
      <c r="X837" t="s">
        <v>51</v>
      </c>
      <c r="Z837" t="b">
        <v>1</v>
      </c>
      <c r="AA837" t="s">
        <v>24</v>
      </c>
      <c r="AB837" t="b">
        <v>0</v>
      </c>
      <c r="AD837" s="2"/>
    </row>
    <row r="838" spans="1:30" x14ac:dyDescent="0.25">
      <c r="A838">
        <v>837</v>
      </c>
      <c r="B838" t="s">
        <v>25</v>
      </c>
      <c r="C838" s="3">
        <v>36884</v>
      </c>
      <c r="D838" s="2">
        <f ca="1">DATEDIF(gym_membership[[#This Row],[birthday]],TODAY(),"y")</f>
        <v>25</v>
      </c>
      <c r="E838">
        <v>23</v>
      </c>
      <c r="F838" t="s">
        <v>18</v>
      </c>
      <c r="G838">
        <v>2</v>
      </c>
      <c r="H838" t="s">
        <v>119</v>
      </c>
      <c r="I838" t="s">
        <v>44</v>
      </c>
      <c r="J838" t="s">
        <v>57</v>
      </c>
      <c r="N838" t="b">
        <v>0</v>
      </c>
      <c r="O838" t="s">
        <v>21</v>
      </c>
      <c r="S838" s="1">
        <v>0.7993055555555556</v>
      </c>
      <c r="T838" s="1">
        <v>0.84652777777777777</v>
      </c>
      <c r="U838">
        <v>68</v>
      </c>
      <c r="V838" t="b">
        <v>1</v>
      </c>
      <c r="W838" t="s">
        <v>257</v>
      </c>
      <c r="X838" t="s">
        <v>39</v>
      </c>
      <c r="Y838" t="s">
        <v>65</v>
      </c>
      <c r="Z838" t="b">
        <v>1</v>
      </c>
      <c r="AA838" t="s">
        <v>24</v>
      </c>
      <c r="AB838" t="b">
        <v>1</v>
      </c>
      <c r="AD838" s="2"/>
    </row>
    <row r="839" spans="1:30" x14ac:dyDescent="0.25">
      <c r="A839">
        <v>838</v>
      </c>
      <c r="B839" t="s">
        <v>25</v>
      </c>
      <c r="C839" s="3">
        <v>27604</v>
      </c>
      <c r="D839" s="2">
        <f ca="1">DATEDIF(gym_membership[[#This Row],[birthday]],TODAY(),"y")</f>
        <v>51</v>
      </c>
      <c r="E839">
        <v>49</v>
      </c>
      <c r="F839" t="s">
        <v>22</v>
      </c>
      <c r="G839">
        <v>3</v>
      </c>
      <c r="H839" t="s">
        <v>193</v>
      </c>
      <c r="I839" t="s">
        <v>44</v>
      </c>
      <c r="J839" t="s">
        <v>26</v>
      </c>
      <c r="K839" t="s">
        <v>95</v>
      </c>
      <c r="N839" t="b">
        <v>1</v>
      </c>
      <c r="O839" t="s">
        <v>396</v>
      </c>
      <c r="P839" t="s">
        <v>72</v>
      </c>
      <c r="Q839" t="s">
        <v>128</v>
      </c>
      <c r="S839" s="1">
        <v>0.86111111111111116</v>
      </c>
      <c r="T839" s="1">
        <v>0.89166666666666672</v>
      </c>
      <c r="U839">
        <v>44</v>
      </c>
      <c r="V839" t="b">
        <v>0</v>
      </c>
      <c r="W839" t="s">
        <v>21</v>
      </c>
      <c r="Z839" t="b">
        <v>1</v>
      </c>
      <c r="AA839" t="s">
        <v>29</v>
      </c>
      <c r="AB839" t="b">
        <v>0</v>
      </c>
      <c r="AD839" s="2"/>
    </row>
    <row r="840" spans="1:30" x14ac:dyDescent="0.25">
      <c r="A840">
        <v>839</v>
      </c>
      <c r="B840" t="s">
        <v>17</v>
      </c>
      <c r="C840" s="3">
        <v>28848</v>
      </c>
      <c r="D840" s="2">
        <f ca="1">DATEDIF(gym_membership[[#This Row],[birthday]],TODAY(),"y")</f>
        <v>47</v>
      </c>
      <c r="E840">
        <v>45</v>
      </c>
      <c r="F840" t="s">
        <v>22</v>
      </c>
      <c r="G840">
        <v>2</v>
      </c>
      <c r="H840" t="s">
        <v>32</v>
      </c>
      <c r="I840" t="s">
        <v>95</v>
      </c>
      <c r="J840" t="s">
        <v>77</v>
      </c>
      <c r="N840" t="b">
        <v>0</v>
      </c>
      <c r="O840" t="s">
        <v>21</v>
      </c>
      <c r="S840" s="1">
        <v>0.37083333333333335</v>
      </c>
      <c r="T840" s="1">
        <v>0.42986111111111114</v>
      </c>
      <c r="U840">
        <v>85</v>
      </c>
      <c r="V840" t="b">
        <v>0</v>
      </c>
      <c r="W840" t="s">
        <v>21</v>
      </c>
      <c r="Z840" t="b">
        <v>1</v>
      </c>
      <c r="AA840" t="s">
        <v>45</v>
      </c>
      <c r="AB840" t="b">
        <v>1</v>
      </c>
      <c r="AD840" s="2"/>
    </row>
    <row r="841" spans="1:30" x14ac:dyDescent="0.25">
      <c r="A841">
        <v>840</v>
      </c>
      <c r="B841" t="s">
        <v>17</v>
      </c>
      <c r="C841" s="3">
        <v>27710</v>
      </c>
      <c r="D841" s="2">
        <f ca="1">DATEDIF(gym_membership[[#This Row],[birthday]],TODAY(),"y")</f>
        <v>50</v>
      </c>
      <c r="E841">
        <v>48</v>
      </c>
      <c r="F841" t="s">
        <v>22</v>
      </c>
      <c r="G841">
        <v>2</v>
      </c>
      <c r="H841" t="s">
        <v>119</v>
      </c>
      <c r="I841" t="s">
        <v>44</v>
      </c>
      <c r="J841" t="s">
        <v>57</v>
      </c>
      <c r="N841" t="b">
        <v>0</v>
      </c>
      <c r="O841" t="s">
        <v>21</v>
      </c>
      <c r="S841" s="1">
        <v>0.85138888888888886</v>
      </c>
      <c r="T841" s="1">
        <v>0.94861111111111107</v>
      </c>
      <c r="U841">
        <v>140</v>
      </c>
      <c r="V841" t="b">
        <v>0</v>
      </c>
      <c r="W841" t="s">
        <v>21</v>
      </c>
      <c r="Z841" t="b">
        <v>1</v>
      </c>
      <c r="AA841" t="s">
        <v>45</v>
      </c>
      <c r="AB841" t="b">
        <v>0</v>
      </c>
      <c r="AD841" s="2"/>
    </row>
    <row r="842" spans="1:30" x14ac:dyDescent="0.25">
      <c r="A842">
        <v>841</v>
      </c>
      <c r="B842" t="s">
        <v>17</v>
      </c>
      <c r="C842" s="3">
        <v>34958</v>
      </c>
      <c r="D842" s="2">
        <f ca="1">DATEDIF(gym_membership[[#This Row],[birthday]],TODAY(),"y")</f>
        <v>30</v>
      </c>
      <c r="E842">
        <v>29</v>
      </c>
      <c r="F842" t="s">
        <v>22</v>
      </c>
      <c r="G842">
        <v>3</v>
      </c>
      <c r="H842" t="s">
        <v>145</v>
      </c>
      <c r="I842" t="s">
        <v>34</v>
      </c>
      <c r="J842" t="s">
        <v>26</v>
      </c>
      <c r="K842" t="s">
        <v>94</v>
      </c>
      <c r="N842" t="b">
        <v>0</v>
      </c>
      <c r="O842" t="s">
        <v>21</v>
      </c>
      <c r="S842" s="1">
        <v>0.45833333333333331</v>
      </c>
      <c r="T842" s="1">
        <v>0.5083333333333333</v>
      </c>
      <c r="U842">
        <v>72</v>
      </c>
      <c r="V842" t="b">
        <v>1</v>
      </c>
      <c r="W842" t="s">
        <v>52</v>
      </c>
      <c r="X842" t="s">
        <v>59</v>
      </c>
      <c r="Y842" t="s">
        <v>51</v>
      </c>
      <c r="Z842" t="b">
        <v>0</v>
      </c>
      <c r="AA842" t="s">
        <v>456</v>
      </c>
      <c r="AB842" t="b">
        <v>0</v>
      </c>
      <c r="AD842" s="2"/>
    </row>
    <row r="843" spans="1:30" x14ac:dyDescent="0.25">
      <c r="A843">
        <v>842</v>
      </c>
      <c r="B843" t="s">
        <v>17</v>
      </c>
      <c r="C843" s="3">
        <v>34088</v>
      </c>
      <c r="D843" s="2">
        <f ca="1">DATEDIF(gym_membership[[#This Row],[birthday]],TODAY(),"y")</f>
        <v>33</v>
      </c>
      <c r="E843">
        <v>31</v>
      </c>
      <c r="F843" t="s">
        <v>22</v>
      </c>
      <c r="G843">
        <v>5</v>
      </c>
      <c r="H843" t="s">
        <v>74</v>
      </c>
      <c r="I843" t="s">
        <v>44</v>
      </c>
      <c r="J843" t="s">
        <v>26</v>
      </c>
      <c r="K843" t="s">
        <v>94</v>
      </c>
      <c r="L843" t="s">
        <v>57</v>
      </c>
      <c r="M843" t="s">
        <v>77</v>
      </c>
      <c r="N843" t="b">
        <v>1</v>
      </c>
      <c r="O843" t="s">
        <v>302</v>
      </c>
      <c r="P843" t="s">
        <v>58</v>
      </c>
      <c r="Q843" t="s">
        <v>96</v>
      </c>
      <c r="R843" t="s">
        <v>100</v>
      </c>
      <c r="S843" s="1">
        <v>0.40763888888888888</v>
      </c>
      <c r="T843" s="1">
        <v>0.48055555555555557</v>
      </c>
      <c r="U843">
        <v>105</v>
      </c>
      <c r="V843" t="b">
        <v>0</v>
      </c>
      <c r="W843" t="s">
        <v>21</v>
      </c>
      <c r="Z843" t="b">
        <v>1</v>
      </c>
      <c r="AA843" t="s">
        <v>24</v>
      </c>
      <c r="AB843" t="b">
        <v>1</v>
      </c>
      <c r="AD843" s="2"/>
    </row>
    <row r="844" spans="1:30" x14ac:dyDescent="0.25">
      <c r="A844">
        <v>843</v>
      </c>
      <c r="B844" t="s">
        <v>17</v>
      </c>
      <c r="C844" s="3">
        <v>34770</v>
      </c>
      <c r="D844" s="2">
        <f ca="1">DATEDIF(gym_membership[[#This Row],[birthday]],TODAY(),"y")</f>
        <v>31</v>
      </c>
      <c r="E844">
        <v>29</v>
      </c>
      <c r="F844" t="s">
        <v>18</v>
      </c>
      <c r="G844">
        <v>1</v>
      </c>
      <c r="H844" t="s">
        <v>77</v>
      </c>
      <c r="I844" t="s">
        <v>77</v>
      </c>
      <c r="N844" t="b">
        <v>1</v>
      </c>
      <c r="O844" t="s">
        <v>96</v>
      </c>
      <c r="P844" t="s">
        <v>96</v>
      </c>
      <c r="S844" s="1">
        <v>0.79861111111111116</v>
      </c>
      <c r="T844" s="1">
        <v>0.89722222222222225</v>
      </c>
      <c r="U844">
        <v>142</v>
      </c>
      <c r="V844" t="b">
        <v>1</v>
      </c>
      <c r="W844" t="s">
        <v>203</v>
      </c>
      <c r="X844" t="s">
        <v>51</v>
      </c>
      <c r="Y844" t="s">
        <v>39</v>
      </c>
      <c r="Z844" t="b">
        <v>1</v>
      </c>
      <c r="AA844" t="s">
        <v>29</v>
      </c>
      <c r="AB844" t="b">
        <v>0</v>
      </c>
      <c r="AD844" s="2"/>
    </row>
    <row r="845" spans="1:30" x14ac:dyDescent="0.25">
      <c r="A845">
        <v>844</v>
      </c>
      <c r="B845" t="s">
        <v>25</v>
      </c>
      <c r="C845" s="3">
        <v>29870</v>
      </c>
      <c r="D845" s="2">
        <f ca="1">DATEDIF(gym_membership[[#This Row],[birthday]],TODAY(),"y")</f>
        <v>44</v>
      </c>
      <c r="E845">
        <v>43</v>
      </c>
      <c r="F845" t="s">
        <v>18</v>
      </c>
      <c r="G845">
        <v>3</v>
      </c>
      <c r="H845" t="s">
        <v>193</v>
      </c>
      <c r="I845" t="s">
        <v>44</v>
      </c>
      <c r="J845" t="s">
        <v>26</v>
      </c>
      <c r="K845" t="s">
        <v>95</v>
      </c>
      <c r="N845" t="b">
        <v>1</v>
      </c>
      <c r="O845" t="s">
        <v>397</v>
      </c>
      <c r="P845" t="s">
        <v>120</v>
      </c>
      <c r="Q845" t="s">
        <v>91</v>
      </c>
      <c r="R845" t="s">
        <v>41</v>
      </c>
      <c r="S845" s="1">
        <v>0.56944444444444442</v>
      </c>
      <c r="T845" s="1">
        <v>0.68472222222222223</v>
      </c>
      <c r="U845">
        <v>166</v>
      </c>
      <c r="V845" t="b">
        <v>1</v>
      </c>
      <c r="W845" t="s">
        <v>68</v>
      </c>
      <c r="X845" t="s">
        <v>31</v>
      </c>
      <c r="Y845" t="s">
        <v>59</v>
      </c>
      <c r="Z845" t="b">
        <v>1</v>
      </c>
      <c r="AA845" t="s">
        <v>29</v>
      </c>
      <c r="AB845" t="b">
        <v>1</v>
      </c>
      <c r="AD845" s="2"/>
    </row>
    <row r="846" spans="1:30" x14ac:dyDescent="0.25">
      <c r="A846">
        <v>845</v>
      </c>
      <c r="B846" t="s">
        <v>25</v>
      </c>
      <c r="C846" s="3">
        <v>34704</v>
      </c>
      <c r="D846" s="2">
        <f ca="1">DATEDIF(gym_membership[[#This Row],[birthday]],TODAY(),"y")</f>
        <v>31</v>
      </c>
      <c r="E846">
        <v>29</v>
      </c>
      <c r="F846" t="s">
        <v>22</v>
      </c>
      <c r="G846">
        <v>2</v>
      </c>
      <c r="H846" t="s">
        <v>48</v>
      </c>
      <c r="I846" t="s">
        <v>94</v>
      </c>
      <c r="J846" t="s">
        <v>77</v>
      </c>
      <c r="N846" t="b">
        <v>0</v>
      </c>
      <c r="O846" t="s">
        <v>21</v>
      </c>
      <c r="S846" s="1">
        <v>0.71458333333333335</v>
      </c>
      <c r="T846" s="1">
        <v>0.75416666666666665</v>
      </c>
      <c r="U846">
        <v>57</v>
      </c>
      <c r="V846" t="b">
        <v>0</v>
      </c>
      <c r="W846" t="s">
        <v>21</v>
      </c>
      <c r="Z846" t="b">
        <v>1</v>
      </c>
      <c r="AA846" t="s">
        <v>45</v>
      </c>
      <c r="AB846" t="b">
        <v>1</v>
      </c>
      <c r="AD846" s="2"/>
    </row>
    <row r="847" spans="1:30" x14ac:dyDescent="0.25">
      <c r="A847">
        <v>846</v>
      </c>
      <c r="B847" t="s">
        <v>25</v>
      </c>
      <c r="C847" s="3">
        <v>28869</v>
      </c>
      <c r="D847" s="2">
        <f ca="1">DATEDIF(gym_membership[[#This Row],[birthday]],TODAY(),"y")</f>
        <v>47</v>
      </c>
      <c r="E847">
        <v>45</v>
      </c>
      <c r="F847" t="s">
        <v>22</v>
      </c>
      <c r="G847">
        <v>2</v>
      </c>
      <c r="H847" t="s">
        <v>106</v>
      </c>
      <c r="I847" t="s">
        <v>26</v>
      </c>
      <c r="J847" t="s">
        <v>57</v>
      </c>
      <c r="N847" t="b">
        <v>1</v>
      </c>
      <c r="O847" t="s">
        <v>67</v>
      </c>
      <c r="P847" t="s">
        <v>67</v>
      </c>
      <c r="S847" s="1">
        <v>0.66597222222222219</v>
      </c>
      <c r="T847" s="1">
        <v>0.78194444444444444</v>
      </c>
      <c r="U847">
        <v>167</v>
      </c>
      <c r="V847" t="b">
        <v>0</v>
      </c>
      <c r="W847" t="s">
        <v>21</v>
      </c>
      <c r="Z847" t="b">
        <v>1</v>
      </c>
      <c r="AA847" t="s">
        <v>45</v>
      </c>
      <c r="AB847" t="b">
        <v>1</v>
      </c>
      <c r="AD847" s="2"/>
    </row>
    <row r="848" spans="1:30" x14ac:dyDescent="0.25">
      <c r="A848">
        <v>847</v>
      </c>
      <c r="B848" t="s">
        <v>25</v>
      </c>
      <c r="C848" s="3">
        <v>34648</v>
      </c>
      <c r="D848" s="2">
        <f ca="1">DATEDIF(gym_membership[[#This Row],[birthday]],TODAY(),"y")</f>
        <v>31</v>
      </c>
      <c r="E848">
        <v>29</v>
      </c>
      <c r="F848" t="s">
        <v>22</v>
      </c>
      <c r="G848">
        <v>1</v>
      </c>
      <c r="H848" t="s">
        <v>95</v>
      </c>
      <c r="I848" t="s">
        <v>95</v>
      </c>
      <c r="N848" t="b">
        <v>0</v>
      </c>
      <c r="O848" t="s">
        <v>21</v>
      </c>
      <c r="S848" s="1">
        <v>0.86319444444444449</v>
      </c>
      <c r="T848" s="1">
        <v>0.9145833333333333</v>
      </c>
      <c r="U848">
        <v>74</v>
      </c>
      <c r="V848" t="b">
        <v>0</v>
      </c>
      <c r="W848" t="s">
        <v>21</v>
      </c>
      <c r="Z848" t="b">
        <v>1</v>
      </c>
      <c r="AA848" t="s">
        <v>29</v>
      </c>
      <c r="AB848" t="b">
        <v>1</v>
      </c>
      <c r="AD848" s="2"/>
    </row>
    <row r="849" spans="1:30" x14ac:dyDescent="0.25">
      <c r="A849">
        <v>848</v>
      </c>
      <c r="B849" t="s">
        <v>25</v>
      </c>
      <c r="C849" s="3">
        <v>36697</v>
      </c>
      <c r="D849" s="2">
        <f ca="1">DATEDIF(gym_membership[[#This Row],[birthday]],TODAY(),"y")</f>
        <v>26</v>
      </c>
      <c r="E849">
        <v>24</v>
      </c>
      <c r="F849" t="s">
        <v>22</v>
      </c>
      <c r="G849">
        <v>3</v>
      </c>
      <c r="H849" t="s">
        <v>35</v>
      </c>
      <c r="I849" t="s">
        <v>26</v>
      </c>
      <c r="J849" t="s">
        <v>95</v>
      </c>
      <c r="K849" t="s">
        <v>77</v>
      </c>
      <c r="N849" t="b">
        <v>1</v>
      </c>
      <c r="O849" t="s">
        <v>216</v>
      </c>
      <c r="P849" t="s">
        <v>100</v>
      </c>
      <c r="Q849" t="s">
        <v>67</v>
      </c>
      <c r="S849" s="1">
        <v>0.5</v>
      </c>
      <c r="T849" s="1">
        <v>0.58888888888888891</v>
      </c>
      <c r="U849">
        <v>128</v>
      </c>
      <c r="V849" t="b">
        <v>1</v>
      </c>
      <c r="W849" t="s">
        <v>65</v>
      </c>
      <c r="X849" t="s">
        <v>65</v>
      </c>
      <c r="Z849" t="b">
        <v>0</v>
      </c>
      <c r="AA849" t="s">
        <v>456</v>
      </c>
      <c r="AB849" t="b">
        <v>1</v>
      </c>
      <c r="AD849" s="2"/>
    </row>
    <row r="850" spans="1:30" x14ac:dyDescent="0.25">
      <c r="A850">
        <v>849</v>
      </c>
      <c r="B850" t="s">
        <v>17</v>
      </c>
      <c r="C850" s="3">
        <v>31155</v>
      </c>
      <c r="D850" s="2">
        <f ca="1">DATEDIF(gym_membership[[#This Row],[birthday]],TODAY(),"y")</f>
        <v>41</v>
      </c>
      <c r="E850">
        <v>39</v>
      </c>
      <c r="F850" t="s">
        <v>18</v>
      </c>
      <c r="G850">
        <v>3</v>
      </c>
      <c r="H850" t="s">
        <v>30</v>
      </c>
      <c r="I850" t="s">
        <v>26</v>
      </c>
      <c r="J850" t="s">
        <v>57</v>
      </c>
      <c r="K850" t="s">
        <v>77</v>
      </c>
      <c r="N850" t="b">
        <v>1</v>
      </c>
      <c r="O850" t="s">
        <v>295</v>
      </c>
      <c r="P850" t="s">
        <v>58</v>
      </c>
      <c r="Q850" t="s">
        <v>100</v>
      </c>
      <c r="S850" s="1">
        <v>0.69236111111111109</v>
      </c>
      <c r="T850" s="1">
        <v>0.73958333333333337</v>
      </c>
      <c r="U850">
        <v>68</v>
      </c>
      <c r="V850" t="b">
        <v>0</v>
      </c>
      <c r="W850" t="s">
        <v>21</v>
      </c>
      <c r="Z850" t="b">
        <v>1</v>
      </c>
      <c r="AA850" t="s">
        <v>43</v>
      </c>
      <c r="AB850" t="b">
        <v>0</v>
      </c>
      <c r="AD850" s="2"/>
    </row>
    <row r="851" spans="1:30" x14ac:dyDescent="0.25">
      <c r="A851">
        <v>850</v>
      </c>
      <c r="B851" t="s">
        <v>25</v>
      </c>
      <c r="C851" s="3">
        <v>33318</v>
      </c>
      <c r="D851" s="2">
        <f ca="1">DATEDIF(gym_membership[[#This Row],[birthday]],TODAY(),"y")</f>
        <v>35</v>
      </c>
      <c r="E851">
        <v>33</v>
      </c>
      <c r="F851" t="s">
        <v>22</v>
      </c>
      <c r="G851">
        <v>2</v>
      </c>
      <c r="H851" t="s">
        <v>89</v>
      </c>
      <c r="I851" t="s">
        <v>26</v>
      </c>
      <c r="J851" t="s">
        <v>95</v>
      </c>
      <c r="N851" t="b">
        <v>1</v>
      </c>
      <c r="O851" t="s">
        <v>91</v>
      </c>
      <c r="P851" t="s">
        <v>91</v>
      </c>
      <c r="S851" s="1">
        <v>0.62222222222222223</v>
      </c>
      <c r="T851" s="1">
        <v>0.6645833333333333</v>
      </c>
      <c r="U851">
        <v>61</v>
      </c>
      <c r="V851" t="b">
        <v>1</v>
      </c>
      <c r="W851" t="s">
        <v>51</v>
      </c>
      <c r="X851" t="s">
        <v>51</v>
      </c>
      <c r="Z851" t="b">
        <v>1</v>
      </c>
      <c r="AA851" t="s">
        <v>29</v>
      </c>
      <c r="AB851" t="b">
        <v>1</v>
      </c>
      <c r="AD851" s="2"/>
    </row>
    <row r="852" spans="1:30" x14ac:dyDescent="0.25">
      <c r="A852">
        <v>851</v>
      </c>
      <c r="B852" t="s">
        <v>17</v>
      </c>
      <c r="C852" s="3">
        <v>39317</v>
      </c>
      <c r="D852" s="2">
        <f ca="1">DATEDIF(gym_membership[[#This Row],[birthday]],TODAY(),"y")</f>
        <v>19</v>
      </c>
      <c r="E852">
        <v>17</v>
      </c>
      <c r="F852" t="s">
        <v>22</v>
      </c>
      <c r="G852">
        <v>2</v>
      </c>
      <c r="H852" t="s">
        <v>98</v>
      </c>
      <c r="I852" t="s">
        <v>57</v>
      </c>
      <c r="J852" t="s">
        <v>77</v>
      </c>
      <c r="N852" t="b">
        <v>0</v>
      </c>
      <c r="O852" t="s">
        <v>21</v>
      </c>
      <c r="S852" s="1">
        <v>0.33750000000000002</v>
      </c>
      <c r="T852" s="1">
        <v>0.3659722222222222</v>
      </c>
      <c r="U852">
        <v>41</v>
      </c>
      <c r="V852" t="b">
        <v>1</v>
      </c>
      <c r="W852" t="s">
        <v>130</v>
      </c>
      <c r="X852" t="s">
        <v>76</v>
      </c>
      <c r="Y852" t="s">
        <v>39</v>
      </c>
      <c r="Z852" t="b">
        <v>0</v>
      </c>
      <c r="AA852" t="s">
        <v>456</v>
      </c>
      <c r="AB852" t="b">
        <v>1</v>
      </c>
      <c r="AD852" s="2"/>
    </row>
    <row r="853" spans="1:30" x14ac:dyDescent="0.25">
      <c r="A853">
        <v>852</v>
      </c>
      <c r="B853" t="s">
        <v>17</v>
      </c>
      <c r="C853" s="3">
        <v>32737</v>
      </c>
      <c r="D853" s="2">
        <f ca="1">DATEDIF(gym_membership[[#This Row],[birthday]],TODAY(),"y")</f>
        <v>37</v>
      </c>
      <c r="E853">
        <v>35</v>
      </c>
      <c r="F853" t="s">
        <v>22</v>
      </c>
      <c r="G853">
        <v>4</v>
      </c>
      <c r="H853" t="s">
        <v>53</v>
      </c>
      <c r="I853" t="s">
        <v>34</v>
      </c>
      <c r="J853" t="s">
        <v>95</v>
      </c>
      <c r="K853" t="s">
        <v>57</v>
      </c>
      <c r="L853" t="s">
        <v>77</v>
      </c>
      <c r="N853" t="b">
        <v>0</v>
      </c>
      <c r="O853" t="s">
        <v>21</v>
      </c>
      <c r="S853" s="1">
        <v>0.65486111111111112</v>
      </c>
      <c r="T853" s="1">
        <v>0.77847222222222223</v>
      </c>
      <c r="U853">
        <v>178</v>
      </c>
      <c r="V853" t="b">
        <v>0</v>
      </c>
      <c r="W853" t="s">
        <v>21</v>
      </c>
      <c r="Z853" t="b">
        <v>1</v>
      </c>
      <c r="AA853" t="s">
        <v>45</v>
      </c>
      <c r="AB853" t="b">
        <v>1</v>
      </c>
      <c r="AD853" s="2"/>
    </row>
    <row r="854" spans="1:30" x14ac:dyDescent="0.25">
      <c r="A854">
        <v>853</v>
      </c>
      <c r="B854" t="s">
        <v>25</v>
      </c>
      <c r="C854" s="3">
        <v>31241</v>
      </c>
      <c r="D854" s="2">
        <f ca="1">DATEDIF(gym_membership[[#This Row],[birthday]],TODAY(),"y")</f>
        <v>41</v>
      </c>
      <c r="E854">
        <v>39</v>
      </c>
      <c r="F854" t="s">
        <v>18</v>
      </c>
      <c r="G854">
        <v>3</v>
      </c>
      <c r="H854" t="s">
        <v>150</v>
      </c>
      <c r="I854" t="s">
        <v>44</v>
      </c>
      <c r="J854" t="s">
        <v>34</v>
      </c>
      <c r="K854" t="s">
        <v>94</v>
      </c>
      <c r="N854" t="b">
        <v>1</v>
      </c>
      <c r="O854" t="s">
        <v>67</v>
      </c>
      <c r="P854" t="s">
        <v>67</v>
      </c>
      <c r="S854" s="1">
        <v>0.51111111111111107</v>
      </c>
      <c r="T854" s="1">
        <v>0.53402777777777777</v>
      </c>
      <c r="U854">
        <v>33</v>
      </c>
      <c r="V854" t="b">
        <v>0</v>
      </c>
      <c r="W854" t="s">
        <v>21</v>
      </c>
      <c r="Z854" t="b">
        <v>0</v>
      </c>
      <c r="AA854" t="s">
        <v>456</v>
      </c>
      <c r="AB854" t="b">
        <v>0</v>
      </c>
      <c r="AD854" s="2"/>
    </row>
    <row r="855" spans="1:30" x14ac:dyDescent="0.25">
      <c r="A855">
        <v>854</v>
      </c>
      <c r="B855" t="s">
        <v>17</v>
      </c>
      <c r="C855" s="3">
        <v>36097</v>
      </c>
      <c r="D855" s="2">
        <f ca="1">DATEDIF(gym_membership[[#This Row],[birthday]],TODAY(),"y")</f>
        <v>27</v>
      </c>
      <c r="E855">
        <v>25</v>
      </c>
      <c r="F855" t="s">
        <v>18</v>
      </c>
      <c r="G855">
        <v>2</v>
      </c>
      <c r="H855" t="s">
        <v>98</v>
      </c>
      <c r="I855" t="s">
        <v>57</v>
      </c>
      <c r="J855" t="s">
        <v>77</v>
      </c>
      <c r="N855" t="b">
        <v>0</v>
      </c>
      <c r="O855" t="s">
        <v>21</v>
      </c>
      <c r="S855" s="1">
        <v>0.84722222222222221</v>
      </c>
      <c r="T855" s="1">
        <v>0.96527777777777779</v>
      </c>
      <c r="U855">
        <v>170</v>
      </c>
      <c r="V855" t="b">
        <v>1</v>
      </c>
      <c r="W855" t="s">
        <v>28</v>
      </c>
      <c r="X855" t="s">
        <v>76</v>
      </c>
      <c r="Y855" t="s">
        <v>65</v>
      </c>
      <c r="Z855" t="b">
        <v>0</v>
      </c>
      <c r="AA855" t="s">
        <v>456</v>
      </c>
      <c r="AB855" t="b">
        <v>0</v>
      </c>
      <c r="AD855" s="2"/>
    </row>
    <row r="856" spans="1:30" x14ac:dyDescent="0.25">
      <c r="A856">
        <v>855</v>
      </c>
      <c r="B856" t="s">
        <v>25</v>
      </c>
      <c r="C856" s="3">
        <v>40258</v>
      </c>
      <c r="D856" s="2">
        <f ca="1">DATEDIF(gym_membership[[#This Row],[birthday]],TODAY(),"y")</f>
        <v>16</v>
      </c>
      <c r="E856">
        <v>14</v>
      </c>
      <c r="F856" t="s">
        <v>18</v>
      </c>
      <c r="G856">
        <v>1</v>
      </c>
      <c r="H856" t="s">
        <v>44</v>
      </c>
      <c r="I856" t="s">
        <v>44</v>
      </c>
      <c r="N856" t="b">
        <v>0</v>
      </c>
      <c r="O856" t="s">
        <v>21</v>
      </c>
      <c r="S856" s="1">
        <v>0.50694444444444442</v>
      </c>
      <c r="T856" s="1">
        <v>0.5708333333333333</v>
      </c>
      <c r="U856">
        <v>92</v>
      </c>
      <c r="V856" t="b">
        <v>1</v>
      </c>
      <c r="W856" t="s">
        <v>76</v>
      </c>
      <c r="X856" t="s">
        <v>76</v>
      </c>
      <c r="Z856" t="b">
        <v>0</v>
      </c>
      <c r="AA856" t="s">
        <v>456</v>
      </c>
      <c r="AB856" t="b">
        <v>1</v>
      </c>
      <c r="AD856" s="2"/>
    </row>
    <row r="857" spans="1:30" x14ac:dyDescent="0.25">
      <c r="A857">
        <v>856</v>
      </c>
      <c r="B857" t="s">
        <v>17</v>
      </c>
      <c r="C857" s="3">
        <v>30930</v>
      </c>
      <c r="D857" s="2">
        <f ca="1">DATEDIF(gym_membership[[#This Row],[birthday]],TODAY(),"y")</f>
        <v>41</v>
      </c>
      <c r="E857">
        <v>40</v>
      </c>
      <c r="F857" t="s">
        <v>22</v>
      </c>
      <c r="G857">
        <v>3</v>
      </c>
      <c r="H857" t="s">
        <v>123</v>
      </c>
      <c r="I857" t="s">
        <v>44</v>
      </c>
      <c r="J857" t="s">
        <v>94</v>
      </c>
      <c r="K857" t="s">
        <v>95</v>
      </c>
      <c r="N857" t="b">
        <v>1</v>
      </c>
      <c r="O857" t="s">
        <v>398</v>
      </c>
      <c r="P857" t="s">
        <v>67</v>
      </c>
      <c r="Q857" t="s">
        <v>103</v>
      </c>
      <c r="R857" t="s">
        <v>41</v>
      </c>
      <c r="S857" s="1">
        <v>0.71180555555555558</v>
      </c>
      <c r="T857" s="1">
        <v>0.81874999999999998</v>
      </c>
      <c r="U857">
        <v>154</v>
      </c>
      <c r="V857" t="b">
        <v>0</v>
      </c>
      <c r="W857" t="s">
        <v>21</v>
      </c>
      <c r="Z857" t="b">
        <v>1</v>
      </c>
      <c r="AA857" t="s">
        <v>29</v>
      </c>
      <c r="AB857" t="b">
        <v>0</v>
      </c>
      <c r="AD857" s="2"/>
    </row>
    <row r="858" spans="1:30" x14ac:dyDescent="0.25">
      <c r="A858">
        <v>857</v>
      </c>
      <c r="B858" t="s">
        <v>17</v>
      </c>
      <c r="C858" s="3">
        <v>36256</v>
      </c>
      <c r="D858" s="2">
        <f ca="1">DATEDIF(gym_membership[[#This Row],[birthday]],TODAY(),"y")</f>
        <v>27</v>
      </c>
      <c r="E858">
        <v>25</v>
      </c>
      <c r="F858" t="s">
        <v>18</v>
      </c>
      <c r="G858">
        <v>1</v>
      </c>
      <c r="H858" t="s">
        <v>26</v>
      </c>
      <c r="I858" t="s">
        <v>26</v>
      </c>
      <c r="N858" t="b">
        <v>0</v>
      </c>
      <c r="O858" t="s">
        <v>21</v>
      </c>
      <c r="S858" s="1">
        <v>0.66319444444444442</v>
      </c>
      <c r="T858" s="1">
        <v>0.70138888888888884</v>
      </c>
      <c r="U858">
        <v>55</v>
      </c>
      <c r="V858" t="b">
        <v>1</v>
      </c>
      <c r="W858" t="s">
        <v>153</v>
      </c>
      <c r="X858" t="s">
        <v>31</v>
      </c>
      <c r="Y858" t="s">
        <v>76</v>
      </c>
      <c r="Z858" t="b">
        <v>0</v>
      </c>
      <c r="AA858" t="s">
        <v>456</v>
      </c>
      <c r="AB858" t="b">
        <v>1</v>
      </c>
      <c r="AD858" s="2"/>
    </row>
    <row r="859" spans="1:30" x14ac:dyDescent="0.25">
      <c r="A859">
        <v>858</v>
      </c>
      <c r="B859" t="s">
        <v>17</v>
      </c>
      <c r="C859" s="3">
        <v>32172</v>
      </c>
      <c r="D859" s="2">
        <f ca="1">DATEDIF(gym_membership[[#This Row],[birthday]],TODAY(),"y")</f>
        <v>38</v>
      </c>
      <c r="E859">
        <v>36</v>
      </c>
      <c r="F859" t="s">
        <v>18</v>
      </c>
      <c r="G859">
        <v>2</v>
      </c>
      <c r="H859" t="s">
        <v>140</v>
      </c>
      <c r="I859" t="s">
        <v>26</v>
      </c>
      <c r="J859" t="s">
        <v>94</v>
      </c>
      <c r="N859" t="b">
        <v>1</v>
      </c>
      <c r="O859" t="s">
        <v>307</v>
      </c>
      <c r="P859" t="s">
        <v>67</v>
      </c>
      <c r="Q859" t="s">
        <v>96</v>
      </c>
      <c r="S859" s="1">
        <v>0.43055555555555558</v>
      </c>
      <c r="T859" s="1">
        <v>0.54305555555555551</v>
      </c>
      <c r="U859">
        <v>162</v>
      </c>
      <c r="V859" t="b">
        <v>0</v>
      </c>
      <c r="W859" t="s">
        <v>21</v>
      </c>
      <c r="Z859" t="b">
        <v>1</v>
      </c>
      <c r="AA859" t="s">
        <v>43</v>
      </c>
      <c r="AB859" t="b">
        <v>0</v>
      </c>
      <c r="AD859" s="2"/>
    </row>
    <row r="860" spans="1:30" x14ac:dyDescent="0.25">
      <c r="A860">
        <v>859</v>
      </c>
      <c r="B860" t="s">
        <v>25</v>
      </c>
      <c r="C860" s="3">
        <v>36161</v>
      </c>
      <c r="D860" s="2">
        <f ca="1">DATEDIF(gym_membership[[#This Row],[birthday]],TODAY(),"y")</f>
        <v>27</v>
      </c>
      <c r="E860">
        <v>25</v>
      </c>
      <c r="F860" t="s">
        <v>18</v>
      </c>
      <c r="G860">
        <v>3</v>
      </c>
      <c r="H860" t="s">
        <v>274</v>
      </c>
      <c r="I860" t="s">
        <v>44</v>
      </c>
      <c r="J860" t="s">
        <v>34</v>
      </c>
      <c r="K860" t="s">
        <v>57</v>
      </c>
      <c r="N860" t="b">
        <v>1</v>
      </c>
      <c r="O860" t="s">
        <v>348</v>
      </c>
      <c r="P860" t="s">
        <v>67</v>
      </c>
      <c r="Q860" t="s">
        <v>91</v>
      </c>
      <c r="R860" t="s">
        <v>96</v>
      </c>
      <c r="S860" s="1">
        <v>0.61458333333333337</v>
      </c>
      <c r="T860" s="1">
        <v>0.65833333333333333</v>
      </c>
      <c r="U860">
        <v>63</v>
      </c>
      <c r="V860" t="b">
        <v>0</v>
      </c>
      <c r="W860" t="s">
        <v>21</v>
      </c>
      <c r="Z860" t="b">
        <v>0</v>
      </c>
      <c r="AA860" t="s">
        <v>456</v>
      </c>
      <c r="AB860" t="b">
        <v>1</v>
      </c>
      <c r="AD860" s="2"/>
    </row>
    <row r="861" spans="1:30" x14ac:dyDescent="0.25">
      <c r="A861">
        <v>860</v>
      </c>
      <c r="B861" t="s">
        <v>17</v>
      </c>
      <c r="C861" s="3">
        <v>36510</v>
      </c>
      <c r="D861" s="2">
        <f ca="1">DATEDIF(gym_membership[[#This Row],[birthday]],TODAY(),"y")</f>
        <v>26</v>
      </c>
      <c r="E861">
        <v>24</v>
      </c>
      <c r="F861" t="s">
        <v>18</v>
      </c>
      <c r="G861">
        <v>2</v>
      </c>
      <c r="H861" t="s">
        <v>89</v>
      </c>
      <c r="I861" t="s">
        <v>26</v>
      </c>
      <c r="J861" t="s">
        <v>95</v>
      </c>
      <c r="N861" t="b">
        <v>1</v>
      </c>
      <c r="O861" t="s">
        <v>399</v>
      </c>
      <c r="P861" t="s">
        <v>67</v>
      </c>
      <c r="Q861" t="s">
        <v>27</v>
      </c>
      <c r="R861" t="s">
        <v>58</v>
      </c>
      <c r="S861" s="1">
        <v>0.7729166666666667</v>
      </c>
      <c r="T861" s="1">
        <v>0.85277777777777775</v>
      </c>
      <c r="U861">
        <v>115</v>
      </c>
      <c r="V861" t="b">
        <v>1</v>
      </c>
      <c r="W861" t="s">
        <v>52</v>
      </c>
      <c r="X861" t="s">
        <v>59</v>
      </c>
      <c r="Y861" t="s">
        <v>51</v>
      </c>
      <c r="Z861" t="b">
        <v>0</v>
      </c>
      <c r="AA861" t="s">
        <v>456</v>
      </c>
      <c r="AB861" t="b">
        <v>0</v>
      </c>
      <c r="AD861" s="2"/>
    </row>
    <row r="862" spans="1:30" x14ac:dyDescent="0.25">
      <c r="A862">
        <v>861</v>
      </c>
      <c r="B862" t="s">
        <v>17</v>
      </c>
      <c r="C862" s="3">
        <v>32606</v>
      </c>
      <c r="D862" s="2">
        <f ca="1">DATEDIF(gym_membership[[#This Row],[birthday]],TODAY(),"y")</f>
        <v>37</v>
      </c>
      <c r="E862">
        <v>35</v>
      </c>
      <c r="F862" t="s">
        <v>18</v>
      </c>
      <c r="G862">
        <v>2</v>
      </c>
      <c r="H862" t="s">
        <v>132</v>
      </c>
      <c r="I862" t="s">
        <v>44</v>
      </c>
      <c r="J862" t="s">
        <v>94</v>
      </c>
      <c r="N862" t="b">
        <v>1</v>
      </c>
      <c r="O862" t="s">
        <v>400</v>
      </c>
      <c r="P862" t="s">
        <v>41</v>
      </c>
      <c r="Q862" t="s">
        <v>100</v>
      </c>
      <c r="S862" s="1">
        <v>0.59861111111111109</v>
      </c>
      <c r="T862" s="1">
        <v>0.65486111111111112</v>
      </c>
      <c r="U862">
        <v>81</v>
      </c>
      <c r="V862" t="b">
        <v>1</v>
      </c>
      <c r="W862" t="s">
        <v>51</v>
      </c>
      <c r="X862" t="s">
        <v>51</v>
      </c>
      <c r="Z862" t="b">
        <v>0</v>
      </c>
      <c r="AA862" t="s">
        <v>456</v>
      </c>
      <c r="AB862" t="b">
        <v>0</v>
      </c>
      <c r="AD862" s="2"/>
    </row>
    <row r="863" spans="1:30" x14ac:dyDescent="0.25">
      <c r="A863">
        <v>862</v>
      </c>
      <c r="B863" t="s">
        <v>25</v>
      </c>
      <c r="C863" s="3">
        <v>33971</v>
      </c>
      <c r="D863" s="2">
        <f ca="1">DATEDIF(gym_membership[[#This Row],[birthday]],TODAY(),"y")</f>
        <v>33</v>
      </c>
      <c r="E863">
        <v>31</v>
      </c>
      <c r="F863" t="s">
        <v>22</v>
      </c>
      <c r="G863">
        <v>4</v>
      </c>
      <c r="H863" t="s">
        <v>401</v>
      </c>
      <c r="I863" t="s">
        <v>44</v>
      </c>
      <c r="J863" t="s">
        <v>34</v>
      </c>
      <c r="K863" t="s">
        <v>26</v>
      </c>
      <c r="L863" t="s">
        <v>94</v>
      </c>
      <c r="N863" t="b">
        <v>1</v>
      </c>
      <c r="O863" t="s">
        <v>284</v>
      </c>
      <c r="P863" t="s">
        <v>91</v>
      </c>
      <c r="Q863" t="s">
        <v>120</v>
      </c>
      <c r="S863" s="1">
        <v>0.72152777777777777</v>
      </c>
      <c r="T863" s="1">
        <v>0.81944444444444442</v>
      </c>
      <c r="U863">
        <v>141</v>
      </c>
      <c r="V863" t="b">
        <v>1</v>
      </c>
      <c r="W863" t="s">
        <v>124</v>
      </c>
      <c r="X863" t="s">
        <v>31</v>
      </c>
      <c r="Y863" t="s">
        <v>39</v>
      </c>
      <c r="Z863" t="b">
        <v>1</v>
      </c>
      <c r="AA863" t="s">
        <v>29</v>
      </c>
      <c r="AB863" t="b">
        <v>0</v>
      </c>
      <c r="AD863" s="2"/>
    </row>
    <row r="864" spans="1:30" x14ac:dyDescent="0.25">
      <c r="A864">
        <v>863</v>
      </c>
      <c r="B864" t="s">
        <v>25</v>
      </c>
      <c r="C864" s="3">
        <v>33850</v>
      </c>
      <c r="D864" s="2">
        <f ca="1">DATEDIF(gym_membership[[#This Row],[birthday]],TODAY(),"y")</f>
        <v>33</v>
      </c>
      <c r="E864">
        <v>32</v>
      </c>
      <c r="F864" t="s">
        <v>18</v>
      </c>
      <c r="G864">
        <v>5</v>
      </c>
      <c r="H864" t="s">
        <v>159</v>
      </c>
      <c r="I864" t="s">
        <v>26</v>
      </c>
      <c r="J864" t="s">
        <v>94</v>
      </c>
      <c r="K864" t="s">
        <v>95</v>
      </c>
      <c r="L864" t="s">
        <v>57</v>
      </c>
      <c r="M864" t="s">
        <v>77</v>
      </c>
      <c r="N864" t="b">
        <v>0</v>
      </c>
      <c r="O864" t="s">
        <v>21</v>
      </c>
      <c r="S864" s="1">
        <v>0.46388888888888891</v>
      </c>
      <c r="T864" s="1">
        <v>0.55555555555555558</v>
      </c>
      <c r="U864">
        <v>132</v>
      </c>
      <c r="V864" t="b">
        <v>1</v>
      </c>
      <c r="W864" t="s">
        <v>217</v>
      </c>
      <c r="X864" t="s">
        <v>76</v>
      </c>
      <c r="Y864" t="s">
        <v>59</v>
      </c>
      <c r="Z864" t="b">
        <v>0</v>
      </c>
      <c r="AA864" t="s">
        <v>456</v>
      </c>
      <c r="AB864" t="b">
        <v>1</v>
      </c>
      <c r="AD864" s="2"/>
    </row>
    <row r="865" spans="1:30" x14ac:dyDescent="0.25">
      <c r="A865">
        <v>864</v>
      </c>
      <c r="B865" t="s">
        <v>25</v>
      </c>
      <c r="C865" s="3">
        <v>28027</v>
      </c>
      <c r="D865" s="2">
        <f ca="1">DATEDIF(gym_membership[[#This Row],[birthday]],TODAY(),"y")</f>
        <v>49</v>
      </c>
      <c r="E865">
        <v>48</v>
      </c>
      <c r="F865" t="s">
        <v>18</v>
      </c>
      <c r="G865">
        <v>3</v>
      </c>
      <c r="H865" t="s">
        <v>55</v>
      </c>
      <c r="I865" t="s">
        <v>44</v>
      </c>
      <c r="J865" t="s">
        <v>26</v>
      </c>
      <c r="K865" t="s">
        <v>94</v>
      </c>
      <c r="N865" t="b">
        <v>1</v>
      </c>
      <c r="O865" t="s">
        <v>267</v>
      </c>
      <c r="P865" t="s">
        <v>96</v>
      </c>
      <c r="Q865" t="s">
        <v>91</v>
      </c>
      <c r="S865" s="1">
        <v>0.66736111111111107</v>
      </c>
      <c r="T865" s="1">
        <v>0.76111111111111107</v>
      </c>
      <c r="U865">
        <v>135</v>
      </c>
      <c r="V865" t="b">
        <v>0</v>
      </c>
      <c r="W865" t="s">
        <v>21</v>
      </c>
      <c r="Z865" t="b">
        <v>1</v>
      </c>
      <c r="AA865" t="s">
        <v>45</v>
      </c>
      <c r="AB865" t="b">
        <v>1</v>
      </c>
      <c r="AD865" s="2"/>
    </row>
    <row r="866" spans="1:30" x14ac:dyDescent="0.25">
      <c r="A866">
        <v>865</v>
      </c>
      <c r="B866" t="s">
        <v>25</v>
      </c>
      <c r="C866" s="3">
        <v>28932</v>
      </c>
      <c r="D866" s="2">
        <f ca="1">DATEDIF(gym_membership[[#This Row],[birthday]],TODAY(),"y")</f>
        <v>47</v>
      </c>
      <c r="E866">
        <v>45</v>
      </c>
      <c r="F866" t="s">
        <v>22</v>
      </c>
      <c r="G866">
        <v>4</v>
      </c>
      <c r="H866" t="s">
        <v>200</v>
      </c>
      <c r="I866" t="s">
        <v>26</v>
      </c>
      <c r="J866" t="s">
        <v>94</v>
      </c>
      <c r="K866" t="s">
        <v>95</v>
      </c>
      <c r="L866" t="s">
        <v>57</v>
      </c>
      <c r="N866" t="b">
        <v>0</v>
      </c>
      <c r="O866" t="s">
        <v>21</v>
      </c>
      <c r="S866" s="1">
        <v>0.47152777777777777</v>
      </c>
      <c r="T866" s="1">
        <v>0.51111111111111107</v>
      </c>
      <c r="U866">
        <v>57</v>
      </c>
      <c r="V866" t="b">
        <v>0</v>
      </c>
      <c r="W866" t="s">
        <v>21</v>
      </c>
      <c r="Z866" t="b">
        <v>1</v>
      </c>
      <c r="AA866" t="s">
        <v>45</v>
      </c>
      <c r="AB866" t="b">
        <v>1</v>
      </c>
      <c r="AD866" s="2"/>
    </row>
    <row r="867" spans="1:30" x14ac:dyDescent="0.25">
      <c r="A867">
        <v>866</v>
      </c>
      <c r="B867" t="s">
        <v>17</v>
      </c>
      <c r="C867" s="3">
        <v>37447</v>
      </c>
      <c r="D867" s="2">
        <f ca="1">DATEDIF(gym_membership[[#This Row],[birthday]],TODAY(),"y")</f>
        <v>24</v>
      </c>
      <c r="E867">
        <v>22</v>
      </c>
      <c r="F867" t="s">
        <v>18</v>
      </c>
      <c r="G867">
        <v>3</v>
      </c>
      <c r="H867" t="s">
        <v>46</v>
      </c>
      <c r="I867" t="s">
        <v>44</v>
      </c>
      <c r="J867" t="s">
        <v>95</v>
      </c>
      <c r="K867" t="s">
        <v>77</v>
      </c>
      <c r="N867" t="b">
        <v>1</v>
      </c>
      <c r="O867" t="s">
        <v>72</v>
      </c>
      <c r="P867" t="s">
        <v>72</v>
      </c>
      <c r="S867" s="1">
        <v>0.49027777777777776</v>
      </c>
      <c r="T867" s="1">
        <v>0.57430555555555551</v>
      </c>
      <c r="U867">
        <v>121</v>
      </c>
      <c r="V867" t="b">
        <v>0</v>
      </c>
      <c r="W867" t="s">
        <v>21</v>
      </c>
      <c r="Z867" t="b">
        <v>1</v>
      </c>
      <c r="AA867" t="s">
        <v>24</v>
      </c>
      <c r="AB867" t="b">
        <v>1</v>
      </c>
      <c r="AD867" s="2"/>
    </row>
    <row r="868" spans="1:30" x14ac:dyDescent="0.25">
      <c r="A868">
        <v>867</v>
      </c>
      <c r="B868" t="s">
        <v>17</v>
      </c>
      <c r="C868" s="3">
        <v>31024</v>
      </c>
      <c r="D868" s="2">
        <f ca="1">DATEDIF(gym_membership[[#This Row],[birthday]],TODAY(),"y")</f>
        <v>41</v>
      </c>
      <c r="E868">
        <v>39</v>
      </c>
      <c r="F868" t="s">
        <v>22</v>
      </c>
      <c r="G868">
        <v>5</v>
      </c>
      <c r="H868" t="s">
        <v>159</v>
      </c>
      <c r="I868" t="s">
        <v>26</v>
      </c>
      <c r="J868" t="s">
        <v>94</v>
      </c>
      <c r="K868" t="s">
        <v>95</v>
      </c>
      <c r="L868" t="s">
        <v>57</v>
      </c>
      <c r="M868" t="s">
        <v>77</v>
      </c>
      <c r="N868" t="b">
        <v>1</v>
      </c>
      <c r="O868" t="s">
        <v>323</v>
      </c>
      <c r="P868" t="s">
        <v>91</v>
      </c>
      <c r="Q868" t="s">
        <v>96</v>
      </c>
      <c r="S868" s="1">
        <v>0.67013888888888884</v>
      </c>
      <c r="T868" s="1">
        <v>0.77916666666666667</v>
      </c>
      <c r="U868">
        <v>157</v>
      </c>
      <c r="V868" t="b">
        <v>0</v>
      </c>
      <c r="W868" t="s">
        <v>21</v>
      </c>
      <c r="Z868" t="b">
        <v>1</v>
      </c>
      <c r="AA868" t="s">
        <v>29</v>
      </c>
      <c r="AB868" t="b">
        <v>0</v>
      </c>
      <c r="AD868" s="2"/>
    </row>
    <row r="869" spans="1:30" x14ac:dyDescent="0.25">
      <c r="A869">
        <v>868</v>
      </c>
      <c r="B869" t="s">
        <v>17</v>
      </c>
      <c r="C869" s="3">
        <v>28889</v>
      </c>
      <c r="D869" s="2">
        <f ca="1">DATEDIF(gym_membership[[#This Row],[birthday]],TODAY(),"y")</f>
        <v>47</v>
      </c>
      <c r="E869">
        <v>45</v>
      </c>
      <c r="F869" t="s">
        <v>22</v>
      </c>
      <c r="G869">
        <v>2</v>
      </c>
      <c r="H869" t="s">
        <v>156</v>
      </c>
      <c r="I869" t="s">
        <v>44</v>
      </c>
      <c r="J869" t="s">
        <v>77</v>
      </c>
      <c r="N869" t="b">
        <v>1</v>
      </c>
      <c r="O869" t="s">
        <v>231</v>
      </c>
      <c r="P869" t="s">
        <v>96</v>
      </c>
      <c r="Q869" t="s">
        <v>72</v>
      </c>
      <c r="S869" s="1">
        <v>0.7680555555555556</v>
      </c>
      <c r="T869" s="1">
        <v>0.88958333333333328</v>
      </c>
      <c r="U869">
        <v>175</v>
      </c>
      <c r="V869" t="b">
        <v>1</v>
      </c>
      <c r="W869" t="s">
        <v>205</v>
      </c>
      <c r="X869" t="s">
        <v>59</v>
      </c>
      <c r="Y869" t="s">
        <v>31</v>
      </c>
      <c r="Z869" t="b">
        <v>1</v>
      </c>
      <c r="AA869" t="s">
        <v>29</v>
      </c>
      <c r="AB869" t="b">
        <v>0</v>
      </c>
      <c r="AD869" s="2"/>
    </row>
    <row r="870" spans="1:30" x14ac:dyDescent="0.25">
      <c r="A870">
        <v>869</v>
      </c>
      <c r="B870" t="s">
        <v>17</v>
      </c>
      <c r="C870" s="3">
        <v>39201</v>
      </c>
      <c r="D870" s="2">
        <f ca="1">DATEDIF(gym_membership[[#This Row],[birthday]],TODAY(),"y")</f>
        <v>19</v>
      </c>
      <c r="E870">
        <v>17</v>
      </c>
      <c r="F870" t="s">
        <v>22</v>
      </c>
      <c r="G870">
        <v>2</v>
      </c>
      <c r="H870" t="s">
        <v>98</v>
      </c>
      <c r="I870" t="s">
        <v>57</v>
      </c>
      <c r="J870" t="s">
        <v>77</v>
      </c>
      <c r="N870" t="b">
        <v>1</v>
      </c>
      <c r="O870" t="s">
        <v>91</v>
      </c>
      <c r="P870" t="s">
        <v>91</v>
      </c>
      <c r="S870" s="1">
        <v>0.50624999999999998</v>
      </c>
      <c r="T870" s="1">
        <v>0.62152777777777779</v>
      </c>
      <c r="U870">
        <v>166</v>
      </c>
      <c r="V870" t="b">
        <v>1</v>
      </c>
      <c r="W870" t="s">
        <v>114</v>
      </c>
      <c r="X870" t="s">
        <v>59</v>
      </c>
      <c r="Y870" t="s">
        <v>76</v>
      </c>
      <c r="Z870" t="b">
        <v>1</v>
      </c>
      <c r="AA870" t="s">
        <v>29</v>
      </c>
      <c r="AB870" t="b">
        <v>1</v>
      </c>
      <c r="AD870" s="2"/>
    </row>
    <row r="871" spans="1:30" x14ac:dyDescent="0.25">
      <c r="A871">
        <v>870</v>
      </c>
      <c r="B871" t="s">
        <v>25</v>
      </c>
      <c r="C871" s="3">
        <v>32794</v>
      </c>
      <c r="D871" s="2">
        <f ca="1">DATEDIF(gym_membership[[#This Row],[birthday]],TODAY(),"y")</f>
        <v>36</v>
      </c>
      <c r="E871">
        <v>35</v>
      </c>
      <c r="F871" t="s">
        <v>22</v>
      </c>
      <c r="G871">
        <v>2</v>
      </c>
      <c r="H871" t="s">
        <v>140</v>
      </c>
      <c r="I871" t="s">
        <v>26</v>
      </c>
      <c r="J871" t="s">
        <v>94</v>
      </c>
      <c r="N871" t="b">
        <v>1</v>
      </c>
      <c r="O871" t="s">
        <v>67</v>
      </c>
      <c r="P871" t="s">
        <v>67</v>
      </c>
      <c r="S871" s="1">
        <v>0.54097222222222219</v>
      </c>
      <c r="T871" s="1">
        <v>0.61250000000000004</v>
      </c>
      <c r="U871">
        <v>103</v>
      </c>
      <c r="V871" t="b">
        <v>0</v>
      </c>
      <c r="W871" t="s">
        <v>21</v>
      </c>
      <c r="Z871" t="b">
        <v>0</v>
      </c>
      <c r="AA871" t="s">
        <v>456</v>
      </c>
      <c r="AB871" t="b">
        <v>0</v>
      </c>
      <c r="AD871" s="2"/>
    </row>
    <row r="872" spans="1:30" x14ac:dyDescent="0.25">
      <c r="A872">
        <v>871</v>
      </c>
      <c r="B872" t="s">
        <v>17</v>
      </c>
      <c r="C872" s="3">
        <v>33428</v>
      </c>
      <c r="D872" s="2">
        <f ca="1">DATEDIF(gym_membership[[#This Row],[birthday]],TODAY(),"y")</f>
        <v>35</v>
      </c>
      <c r="E872">
        <v>33</v>
      </c>
      <c r="F872" t="s">
        <v>18</v>
      </c>
      <c r="G872">
        <v>5</v>
      </c>
      <c r="H872" t="s">
        <v>176</v>
      </c>
      <c r="I872" t="s">
        <v>44</v>
      </c>
      <c r="J872" t="s">
        <v>26</v>
      </c>
      <c r="K872" t="s">
        <v>94</v>
      </c>
      <c r="L872" t="s">
        <v>95</v>
      </c>
      <c r="M872" t="s">
        <v>57</v>
      </c>
      <c r="N872" t="b">
        <v>1</v>
      </c>
      <c r="O872" t="s">
        <v>402</v>
      </c>
      <c r="P872" t="s">
        <v>27</v>
      </c>
      <c r="Q872" t="s">
        <v>128</v>
      </c>
      <c r="R872" t="s">
        <v>91</v>
      </c>
      <c r="S872" s="1">
        <v>0.51458333333333328</v>
      </c>
      <c r="T872" s="1">
        <v>0.59930555555555554</v>
      </c>
      <c r="U872">
        <v>122</v>
      </c>
      <c r="V872" t="b">
        <v>1</v>
      </c>
      <c r="W872" t="s">
        <v>130</v>
      </c>
      <c r="X872" t="s">
        <v>76</v>
      </c>
      <c r="Y872" t="s">
        <v>39</v>
      </c>
      <c r="Z872" t="b">
        <v>0</v>
      </c>
      <c r="AA872" t="s">
        <v>456</v>
      </c>
      <c r="AB872" t="b">
        <v>1</v>
      </c>
      <c r="AD872" s="2"/>
    </row>
    <row r="873" spans="1:30" x14ac:dyDescent="0.25">
      <c r="A873">
        <v>872</v>
      </c>
      <c r="B873" t="s">
        <v>25</v>
      </c>
      <c r="C873" s="3">
        <v>40382</v>
      </c>
      <c r="D873" s="2">
        <f ca="1">DATEDIF(gym_membership[[#This Row],[birthday]],TODAY(),"y")</f>
        <v>16</v>
      </c>
      <c r="E873">
        <v>14</v>
      </c>
      <c r="F873" t="s">
        <v>22</v>
      </c>
      <c r="G873">
        <v>2</v>
      </c>
      <c r="H873" t="s">
        <v>37</v>
      </c>
      <c r="I873" t="s">
        <v>34</v>
      </c>
      <c r="J873" t="s">
        <v>77</v>
      </c>
      <c r="N873" t="b">
        <v>0</v>
      </c>
      <c r="O873" t="s">
        <v>21</v>
      </c>
      <c r="S873" s="1">
        <v>0.40694444444444444</v>
      </c>
      <c r="T873" s="1">
        <v>0.45555555555555555</v>
      </c>
      <c r="U873">
        <v>70</v>
      </c>
      <c r="V873" t="b">
        <v>0</v>
      </c>
      <c r="W873" t="s">
        <v>21</v>
      </c>
      <c r="Z873" t="b">
        <v>0</v>
      </c>
      <c r="AA873" t="s">
        <v>456</v>
      </c>
      <c r="AB873" t="b">
        <v>1</v>
      </c>
      <c r="AD873" s="2"/>
    </row>
    <row r="874" spans="1:30" x14ac:dyDescent="0.25">
      <c r="A874">
        <v>873</v>
      </c>
      <c r="B874" t="s">
        <v>25</v>
      </c>
      <c r="C874" s="3">
        <v>30828</v>
      </c>
      <c r="D874" s="2">
        <f ca="1">DATEDIF(gym_membership[[#This Row],[birthday]],TODAY(),"y")</f>
        <v>42</v>
      </c>
      <c r="E874">
        <v>40</v>
      </c>
      <c r="F874" t="s">
        <v>22</v>
      </c>
      <c r="G874">
        <v>1</v>
      </c>
      <c r="H874" t="s">
        <v>95</v>
      </c>
      <c r="I874" t="s">
        <v>95</v>
      </c>
      <c r="N874" t="b">
        <v>0</v>
      </c>
      <c r="O874" t="s">
        <v>21</v>
      </c>
      <c r="S874" s="1">
        <v>0.8520833333333333</v>
      </c>
      <c r="T874" s="1">
        <v>0.9145833333333333</v>
      </c>
      <c r="U874">
        <v>90</v>
      </c>
      <c r="V874" t="b">
        <v>1</v>
      </c>
      <c r="W874" t="s">
        <v>28</v>
      </c>
      <c r="X874" t="s">
        <v>76</v>
      </c>
      <c r="Y874" t="s">
        <v>65</v>
      </c>
      <c r="Z874" t="b">
        <v>0</v>
      </c>
      <c r="AA874" t="s">
        <v>456</v>
      </c>
      <c r="AB874" t="b">
        <v>0</v>
      </c>
      <c r="AD874" s="2"/>
    </row>
    <row r="875" spans="1:30" x14ac:dyDescent="0.25">
      <c r="A875">
        <v>874</v>
      </c>
      <c r="B875" t="s">
        <v>17</v>
      </c>
      <c r="C875" s="3">
        <v>37124</v>
      </c>
      <c r="D875" s="2">
        <f ca="1">DATEDIF(gym_membership[[#This Row],[birthday]],TODAY(),"y")</f>
        <v>25</v>
      </c>
      <c r="E875">
        <v>23</v>
      </c>
      <c r="F875" t="s">
        <v>18</v>
      </c>
      <c r="G875">
        <v>2</v>
      </c>
      <c r="H875" t="s">
        <v>235</v>
      </c>
      <c r="I875" t="s">
        <v>95</v>
      </c>
      <c r="J875" t="s">
        <v>57</v>
      </c>
      <c r="N875" t="b">
        <v>1</v>
      </c>
      <c r="O875" t="s">
        <v>403</v>
      </c>
      <c r="P875" t="s">
        <v>96</v>
      </c>
      <c r="Q875" t="s">
        <v>100</v>
      </c>
      <c r="S875" s="1">
        <v>0.61250000000000004</v>
      </c>
      <c r="T875" s="1">
        <v>0.7055555555555556</v>
      </c>
      <c r="U875">
        <v>134</v>
      </c>
      <c r="V875" t="b">
        <v>1</v>
      </c>
      <c r="W875" t="s">
        <v>68</v>
      </c>
      <c r="X875" t="s">
        <v>31</v>
      </c>
      <c r="Y875" t="s">
        <v>59</v>
      </c>
      <c r="Z875" t="b">
        <v>1</v>
      </c>
      <c r="AA875" t="s">
        <v>43</v>
      </c>
      <c r="AB875" t="b">
        <v>0</v>
      </c>
      <c r="AD875" s="2"/>
    </row>
    <row r="876" spans="1:30" x14ac:dyDescent="0.25">
      <c r="A876">
        <v>875</v>
      </c>
      <c r="B876" t="s">
        <v>25</v>
      </c>
      <c r="C876" s="3">
        <v>40194</v>
      </c>
      <c r="D876" s="2">
        <f ca="1">DATEDIF(gym_membership[[#This Row],[birthday]],TODAY(),"y")</f>
        <v>16</v>
      </c>
      <c r="E876">
        <v>14</v>
      </c>
      <c r="F876" t="s">
        <v>18</v>
      </c>
      <c r="G876">
        <v>2</v>
      </c>
      <c r="H876" t="s">
        <v>119</v>
      </c>
      <c r="I876" t="s">
        <v>44</v>
      </c>
      <c r="J876" t="s">
        <v>57</v>
      </c>
      <c r="N876" t="b">
        <v>1</v>
      </c>
      <c r="O876" t="s">
        <v>404</v>
      </c>
      <c r="P876" t="s">
        <v>41</v>
      </c>
      <c r="Q876" t="s">
        <v>72</v>
      </c>
      <c r="R876" t="s">
        <v>128</v>
      </c>
      <c r="S876" s="1">
        <v>0.57291666666666663</v>
      </c>
      <c r="T876" s="1">
        <v>0.68472222222222223</v>
      </c>
      <c r="U876">
        <v>161</v>
      </c>
      <c r="V876" t="b">
        <v>0</v>
      </c>
      <c r="W876" t="s">
        <v>21</v>
      </c>
      <c r="Z876" t="b">
        <v>0</v>
      </c>
      <c r="AA876" t="s">
        <v>456</v>
      </c>
      <c r="AB876" t="b">
        <v>0</v>
      </c>
      <c r="AD876" s="2"/>
    </row>
    <row r="877" spans="1:30" x14ac:dyDescent="0.25">
      <c r="A877">
        <v>876</v>
      </c>
      <c r="B877" t="s">
        <v>17</v>
      </c>
      <c r="C877" s="3">
        <v>40925</v>
      </c>
      <c r="D877" s="2">
        <f ca="1">DATEDIF(gym_membership[[#This Row],[birthday]],TODAY(),"y")</f>
        <v>14</v>
      </c>
      <c r="E877">
        <v>12</v>
      </c>
      <c r="F877" t="s">
        <v>22</v>
      </c>
      <c r="G877">
        <v>5</v>
      </c>
      <c r="H877" t="s">
        <v>88</v>
      </c>
      <c r="I877" t="s">
        <v>34</v>
      </c>
      <c r="J877" t="s">
        <v>94</v>
      </c>
      <c r="K877" t="s">
        <v>95</v>
      </c>
      <c r="L877" t="s">
        <v>57</v>
      </c>
      <c r="M877" t="s">
        <v>77</v>
      </c>
      <c r="N877" t="b">
        <v>1</v>
      </c>
      <c r="O877" t="s">
        <v>128</v>
      </c>
      <c r="P877" t="s">
        <v>128</v>
      </c>
      <c r="S877" s="1">
        <v>0.77222222222222225</v>
      </c>
      <c r="T877" s="1">
        <v>0.81111111111111112</v>
      </c>
      <c r="U877">
        <v>56</v>
      </c>
      <c r="V877" t="b">
        <v>1</v>
      </c>
      <c r="W877" t="s">
        <v>31</v>
      </c>
      <c r="X877" t="s">
        <v>31</v>
      </c>
      <c r="Z877" t="b">
        <v>0</v>
      </c>
      <c r="AA877" t="s">
        <v>456</v>
      </c>
      <c r="AB877" t="b">
        <v>1</v>
      </c>
      <c r="AD877" s="2"/>
    </row>
    <row r="878" spans="1:30" x14ac:dyDescent="0.25">
      <c r="A878">
        <v>877</v>
      </c>
      <c r="B878" t="s">
        <v>25</v>
      </c>
      <c r="C878" s="3">
        <v>39940</v>
      </c>
      <c r="D878" s="2">
        <f ca="1">DATEDIF(gym_membership[[#This Row],[birthday]],TODAY(),"y")</f>
        <v>17</v>
      </c>
      <c r="E878">
        <v>15</v>
      </c>
      <c r="F878" t="s">
        <v>22</v>
      </c>
      <c r="G878">
        <v>2</v>
      </c>
      <c r="H878" t="s">
        <v>132</v>
      </c>
      <c r="I878" t="s">
        <v>44</v>
      </c>
      <c r="J878" t="s">
        <v>94</v>
      </c>
      <c r="N878" t="b">
        <v>0</v>
      </c>
      <c r="O878" t="s">
        <v>21</v>
      </c>
      <c r="S878" s="1">
        <v>0.38333333333333336</v>
      </c>
      <c r="T878" s="1">
        <v>0.48749999999999999</v>
      </c>
      <c r="U878">
        <v>150</v>
      </c>
      <c r="V878" t="b">
        <v>0</v>
      </c>
      <c r="W878" t="s">
        <v>21</v>
      </c>
      <c r="Z878" t="b">
        <v>1</v>
      </c>
      <c r="AA878" t="s">
        <v>45</v>
      </c>
      <c r="AB878" t="b">
        <v>0</v>
      </c>
      <c r="AD878" s="2"/>
    </row>
    <row r="879" spans="1:30" x14ac:dyDescent="0.25">
      <c r="A879">
        <v>878</v>
      </c>
      <c r="B879" t="s">
        <v>17</v>
      </c>
      <c r="C879" s="3">
        <v>38147</v>
      </c>
      <c r="D879" s="2">
        <f ca="1">DATEDIF(gym_membership[[#This Row],[birthday]],TODAY(),"y")</f>
        <v>22</v>
      </c>
      <c r="E879">
        <v>20</v>
      </c>
      <c r="F879" t="s">
        <v>18</v>
      </c>
      <c r="G879">
        <v>3</v>
      </c>
      <c r="H879" t="s">
        <v>101</v>
      </c>
      <c r="I879" t="s">
        <v>94</v>
      </c>
      <c r="J879" t="s">
        <v>57</v>
      </c>
      <c r="K879" t="s">
        <v>77</v>
      </c>
      <c r="N879" t="b">
        <v>0</v>
      </c>
      <c r="O879" t="s">
        <v>21</v>
      </c>
      <c r="S879" s="1">
        <v>0.58611111111111114</v>
      </c>
      <c r="T879" s="1">
        <v>0.6958333333333333</v>
      </c>
      <c r="U879">
        <v>158</v>
      </c>
      <c r="V879" t="b">
        <v>0</v>
      </c>
      <c r="W879" t="s">
        <v>21</v>
      </c>
      <c r="Z879" t="b">
        <v>0</v>
      </c>
      <c r="AA879" t="s">
        <v>456</v>
      </c>
      <c r="AB879" t="b">
        <v>0</v>
      </c>
      <c r="AD879" s="2"/>
    </row>
    <row r="880" spans="1:30" x14ac:dyDescent="0.25">
      <c r="A880">
        <v>879</v>
      </c>
      <c r="B880" t="s">
        <v>17</v>
      </c>
      <c r="C880" s="3">
        <v>37612</v>
      </c>
      <c r="D880" s="2">
        <f ca="1">DATEDIF(gym_membership[[#This Row],[birthday]],TODAY(),"y")</f>
        <v>23</v>
      </c>
      <c r="E880">
        <v>21</v>
      </c>
      <c r="F880" t="s">
        <v>18</v>
      </c>
      <c r="G880">
        <v>3</v>
      </c>
      <c r="H880" t="s">
        <v>109</v>
      </c>
      <c r="I880" t="s">
        <v>34</v>
      </c>
      <c r="J880" t="s">
        <v>94</v>
      </c>
      <c r="K880" t="s">
        <v>95</v>
      </c>
      <c r="N880" t="b">
        <v>0</v>
      </c>
      <c r="O880" t="s">
        <v>21</v>
      </c>
      <c r="S880" s="1">
        <v>0.44374999999999998</v>
      </c>
      <c r="T880" s="1">
        <v>0.52569444444444446</v>
      </c>
      <c r="U880">
        <v>118</v>
      </c>
      <c r="V880" t="b">
        <v>1</v>
      </c>
      <c r="W880" t="s">
        <v>59</v>
      </c>
      <c r="X880" t="s">
        <v>59</v>
      </c>
      <c r="Z880" t="b">
        <v>1</v>
      </c>
      <c r="AA880" t="s">
        <v>24</v>
      </c>
      <c r="AB880" t="b">
        <v>0</v>
      </c>
      <c r="AD880" s="2"/>
    </row>
    <row r="881" spans="1:30" x14ac:dyDescent="0.25">
      <c r="A881">
        <v>880</v>
      </c>
      <c r="B881" t="s">
        <v>17</v>
      </c>
      <c r="C881" s="3">
        <v>34735</v>
      </c>
      <c r="D881" s="2">
        <f ca="1">DATEDIF(gym_membership[[#This Row],[birthday]],TODAY(),"y")</f>
        <v>31</v>
      </c>
      <c r="E881">
        <v>29</v>
      </c>
      <c r="F881" t="s">
        <v>18</v>
      </c>
      <c r="G881">
        <v>2</v>
      </c>
      <c r="H881" t="s">
        <v>132</v>
      </c>
      <c r="I881" t="s">
        <v>44</v>
      </c>
      <c r="J881" t="s">
        <v>94</v>
      </c>
      <c r="N881" t="b">
        <v>0</v>
      </c>
      <c r="O881" t="s">
        <v>21</v>
      </c>
      <c r="S881" s="1">
        <v>0.4597222222222222</v>
      </c>
      <c r="T881" s="1">
        <v>0.51527777777777772</v>
      </c>
      <c r="U881">
        <v>80</v>
      </c>
      <c r="V881" t="b">
        <v>1</v>
      </c>
      <c r="W881" t="s">
        <v>80</v>
      </c>
      <c r="X881" t="s">
        <v>59</v>
      </c>
      <c r="Y881" t="s">
        <v>39</v>
      </c>
      <c r="Z881" t="b">
        <v>1</v>
      </c>
      <c r="AA881" t="s">
        <v>24</v>
      </c>
      <c r="AB881" t="b">
        <v>1</v>
      </c>
      <c r="AD881" s="2"/>
    </row>
    <row r="882" spans="1:30" x14ac:dyDescent="0.25">
      <c r="A882">
        <v>881</v>
      </c>
      <c r="B882" t="s">
        <v>25</v>
      </c>
      <c r="C882" s="3">
        <v>36791</v>
      </c>
      <c r="D882" s="2">
        <f ca="1">DATEDIF(gym_membership[[#This Row],[birthday]],TODAY(),"y")</f>
        <v>25</v>
      </c>
      <c r="E882">
        <v>24</v>
      </c>
      <c r="F882" t="s">
        <v>22</v>
      </c>
      <c r="G882">
        <v>3</v>
      </c>
      <c r="H882" t="s">
        <v>84</v>
      </c>
      <c r="I882" t="s">
        <v>26</v>
      </c>
      <c r="J882" t="s">
        <v>94</v>
      </c>
      <c r="K882" t="s">
        <v>57</v>
      </c>
      <c r="N882" t="b">
        <v>0</v>
      </c>
      <c r="O882" t="s">
        <v>21</v>
      </c>
      <c r="S882" s="1">
        <v>0.44861111111111113</v>
      </c>
      <c r="T882" s="1">
        <v>0.54097222222222219</v>
      </c>
      <c r="U882">
        <v>133</v>
      </c>
      <c r="V882" t="b">
        <v>0</v>
      </c>
      <c r="W882" t="s">
        <v>21</v>
      </c>
      <c r="Z882" t="b">
        <v>1</v>
      </c>
      <c r="AA882" t="s">
        <v>43</v>
      </c>
      <c r="AB882" t="b">
        <v>1</v>
      </c>
      <c r="AD882" s="2"/>
    </row>
    <row r="883" spans="1:30" x14ac:dyDescent="0.25">
      <c r="A883">
        <v>882</v>
      </c>
      <c r="B883" t="s">
        <v>17</v>
      </c>
      <c r="C883" s="3">
        <v>34803</v>
      </c>
      <c r="D883" s="2">
        <f ca="1">DATEDIF(gym_membership[[#This Row],[birthday]],TODAY(),"y")</f>
        <v>31</v>
      </c>
      <c r="E883">
        <v>29</v>
      </c>
      <c r="F883" t="s">
        <v>22</v>
      </c>
      <c r="G883">
        <v>2</v>
      </c>
      <c r="H883" t="s">
        <v>183</v>
      </c>
      <c r="I883" t="s">
        <v>44</v>
      </c>
      <c r="J883" t="s">
        <v>26</v>
      </c>
      <c r="N883" t="b">
        <v>0</v>
      </c>
      <c r="O883" t="s">
        <v>21</v>
      </c>
      <c r="S883" s="1">
        <v>0.65208333333333335</v>
      </c>
      <c r="T883" s="1">
        <v>0.74930555555555556</v>
      </c>
      <c r="U883">
        <v>140</v>
      </c>
      <c r="V883" t="b">
        <v>0</v>
      </c>
      <c r="W883" t="s">
        <v>21</v>
      </c>
      <c r="Z883" t="b">
        <v>1</v>
      </c>
      <c r="AA883" t="s">
        <v>45</v>
      </c>
      <c r="AB883" t="b">
        <v>1</v>
      </c>
      <c r="AD883" s="2"/>
    </row>
    <row r="884" spans="1:30" x14ac:dyDescent="0.25">
      <c r="A884">
        <v>883</v>
      </c>
      <c r="B884" t="s">
        <v>17</v>
      </c>
      <c r="C884" s="3">
        <v>40455</v>
      </c>
      <c r="D884" s="2">
        <f ca="1">DATEDIF(gym_membership[[#This Row],[birthday]],TODAY(),"y")</f>
        <v>15</v>
      </c>
      <c r="E884">
        <v>14</v>
      </c>
      <c r="F884" t="s">
        <v>18</v>
      </c>
      <c r="G884">
        <v>3</v>
      </c>
      <c r="H884" t="s">
        <v>274</v>
      </c>
      <c r="I884" t="s">
        <v>44</v>
      </c>
      <c r="J884" t="s">
        <v>34</v>
      </c>
      <c r="K884" t="s">
        <v>57</v>
      </c>
      <c r="N884" t="b">
        <v>1</v>
      </c>
      <c r="O884" t="s">
        <v>100</v>
      </c>
      <c r="P884" t="s">
        <v>100</v>
      </c>
      <c r="S884" s="1">
        <v>0.64652777777777781</v>
      </c>
      <c r="T884" s="1">
        <v>0.76527777777777772</v>
      </c>
      <c r="U884">
        <v>171</v>
      </c>
      <c r="V884" t="b">
        <v>0</v>
      </c>
      <c r="W884" t="s">
        <v>21</v>
      </c>
      <c r="Z884" t="b">
        <v>0</v>
      </c>
      <c r="AA884" t="s">
        <v>456</v>
      </c>
      <c r="AB884" t="b">
        <v>1</v>
      </c>
      <c r="AD884" s="2"/>
    </row>
    <row r="885" spans="1:30" x14ac:dyDescent="0.25">
      <c r="A885">
        <v>884</v>
      </c>
      <c r="B885" t="s">
        <v>25</v>
      </c>
      <c r="C885" s="3">
        <v>27566</v>
      </c>
      <c r="D885" s="2">
        <f ca="1">DATEDIF(gym_membership[[#This Row],[birthday]],TODAY(),"y")</f>
        <v>51</v>
      </c>
      <c r="E885">
        <v>49</v>
      </c>
      <c r="F885" t="s">
        <v>22</v>
      </c>
      <c r="G885">
        <v>1</v>
      </c>
      <c r="H885" t="s">
        <v>57</v>
      </c>
      <c r="I885" t="s">
        <v>57</v>
      </c>
      <c r="N885" t="b">
        <v>1</v>
      </c>
      <c r="O885" t="s">
        <v>405</v>
      </c>
      <c r="P885" t="s">
        <v>67</v>
      </c>
      <c r="Q885" t="s">
        <v>41</v>
      </c>
      <c r="R885" t="s">
        <v>27</v>
      </c>
      <c r="S885" s="1">
        <v>0.6791666666666667</v>
      </c>
      <c r="T885" s="1">
        <v>0.73263888888888884</v>
      </c>
      <c r="U885">
        <v>77</v>
      </c>
      <c r="V885" t="b">
        <v>1</v>
      </c>
      <c r="W885" t="s">
        <v>59</v>
      </c>
      <c r="X885" t="s">
        <v>59</v>
      </c>
      <c r="Z885" t="b">
        <v>0</v>
      </c>
      <c r="AA885" t="s">
        <v>456</v>
      </c>
      <c r="AB885" t="b">
        <v>0</v>
      </c>
      <c r="AD885" s="2"/>
    </row>
    <row r="886" spans="1:30" x14ac:dyDescent="0.25">
      <c r="A886">
        <v>885</v>
      </c>
      <c r="B886" t="s">
        <v>17</v>
      </c>
      <c r="C886" s="3">
        <v>31993</v>
      </c>
      <c r="D886" s="2">
        <f ca="1">DATEDIF(gym_membership[[#This Row],[birthday]],TODAY(),"y")</f>
        <v>39</v>
      </c>
      <c r="E886">
        <v>37</v>
      </c>
      <c r="F886" t="s">
        <v>22</v>
      </c>
      <c r="G886">
        <v>3</v>
      </c>
      <c r="H886" t="s">
        <v>138</v>
      </c>
      <c r="I886" t="s">
        <v>94</v>
      </c>
      <c r="J886" t="s">
        <v>95</v>
      </c>
      <c r="K886" t="s">
        <v>57</v>
      </c>
      <c r="N886" t="b">
        <v>0</v>
      </c>
      <c r="O886" t="s">
        <v>21</v>
      </c>
      <c r="S886" s="1">
        <v>0.60624999999999996</v>
      </c>
      <c r="T886" s="1">
        <v>0.63194444444444442</v>
      </c>
      <c r="U886">
        <v>37</v>
      </c>
      <c r="V886" t="b">
        <v>0</v>
      </c>
      <c r="W886" t="s">
        <v>21</v>
      </c>
      <c r="Z886" t="b">
        <v>0</v>
      </c>
      <c r="AA886" t="s">
        <v>456</v>
      </c>
      <c r="AB886" t="b">
        <v>0</v>
      </c>
      <c r="AD886" s="2"/>
    </row>
    <row r="887" spans="1:30" x14ac:dyDescent="0.25">
      <c r="A887">
        <v>886</v>
      </c>
      <c r="B887" t="s">
        <v>17</v>
      </c>
      <c r="C887" s="3">
        <v>38431</v>
      </c>
      <c r="D887" s="2">
        <f ca="1">DATEDIF(gym_membership[[#This Row],[birthday]],TODAY(),"y")</f>
        <v>21</v>
      </c>
      <c r="E887">
        <v>19</v>
      </c>
      <c r="F887" t="s">
        <v>22</v>
      </c>
      <c r="G887">
        <v>4</v>
      </c>
      <c r="H887" t="s">
        <v>368</v>
      </c>
      <c r="I887" t="s">
        <v>26</v>
      </c>
      <c r="J887" t="s">
        <v>95</v>
      </c>
      <c r="K887" t="s">
        <v>57</v>
      </c>
      <c r="L887" t="s">
        <v>77</v>
      </c>
      <c r="N887" t="b">
        <v>1</v>
      </c>
      <c r="O887" t="s">
        <v>67</v>
      </c>
      <c r="P887" t="s">
        <v>67</v>
      </c>
      <c r="S887" s="1">
        <v>0.65763888888888888</v>
      </c>
      <c r="T887" s="1">
        <v>0.75069444444444444</v>
      </c>
      <c r="U887">
        <v>134</v>
      </c>
      <c r="V887" t="b">
        <v>0</v>
      </c>
      <c r="W887" t="s">
        <v>21</v>
      </c>
      <c r="Z887" t="b">
        <v>0</v>
      </c>
      <c r="AA887" t="s">
        <v>456</v>
      </c>
      <c r="AB887" t="b">
        <v>0</v>
      </c>
      <c r="AD887" s="2"/>
    </row>
    <row r="888" spans="1:30" x14ac:dyDescent="0.25">
      <c r="A888">
        <v>887</v>
      </c>
      <c r="B888" t="s">
        <v>25</v>
      </c>
      <c r="C888" s="3">
        <v>36823</v>
      </c>
      <c r="D888" s="2">
        <f ca="1">DATEDIF(gym_membership[[#This Row],[birthday]],TODAY(),"y")</f>
        <v>25</v>
      </c>
      <c r="E888">
        <v>23</v>
      </c>
      <c r="F888" t="s">
        <v>18</v>
      </c>
      <c r="G888">
        <v>2</v>
      </c>
      <c r="H888" t="s">
        <v>119</v>
      </c>
      <c r="I888" t="s">
        <v>44</v>
      </c>
      <c r="J888" t="s">
        <v>57</v>
      </c>
      <c r="N888" t="b">
        <v>0</v>
      </c>
      <c r="O888" t="s">
        <v>21</v>
      </c>
      <c r="S888" s="1">
        <v>0.7944444444444444</v>
      </c>
      <c r="T888" s="1">
        <v>0.8305555555555556</v>
      </c>
      <c r="U888">
        <v>52</v>
      </c>
      <c r="V888" t="b">
        <v>1</v>
      </c>
      <c r="W888" t="s">
        <v>114</v>
      </c>
      <c r="X888" t="s">
        <v>59</v>
      </c>
      <c r="Y888" t="s">
        <v>76</v>
      </c>
      <c r="Z888" t="b">
        <v>0</v>
      </c>
      <c r="AA888" t="s">
        <v>456</v>
      </c>
      <c r="AB888" t="b">
        <v>1</v>
      </c>
      <c r="AD888" s="2"/>
    </row>
    <row r="889" spans="1:30" x14ac:dyDescent="0.25">
      <c r="A889">
        <v>888</v>
      </c>
      <c r="B889" t="s">
        <v>17</v>
      </c>
      <c r="C889" s="3">
        <v>33073</v>
      </c>
      <c r="D889" s="2">
        <f ca="1">DATEDIF(gym_membership[[#This Row],[birthday]],TODAY(),"y")</f>
        <v>36</v>
      </c>
      <c r="E889">
        <v>34</v>
      </c>
      <c r="F889" t="s">
        <v>18</v>
      </c>
      <c r="G889">
        <v>2</v>
      </c>
      <c r="H889" t="s">
        <v>119</v>
      </c>
      <c r="I889" t="s">
        <v>44</v>
      </c>
      <c r="J889" t="s">
        <v>57</v>
      </c>
      <c r="N889" t="b">
        <v>0</v>
      </c>
      <c r="O889" t="s">
        <v>21</v>
      </c>
      <c r="S889" s="1">
        <v>0.70972222222222225</v>
      </c>
      <c r="T889" s="1">
        <v>0.77500000000000002</v>
      </c>
      <c r="U889">
        <v>94</v>
      </c>
      <c r="V889" t="b">
        <v>1</v>
      </c>
      <c r="W889" t="s">
        <v>31</v>
      </c>
      <c r="X889" t="s">
        <v>31</v>
      </c>
      <c r="Z889" t="b">
        <v>1</v>
      </c>
      <c r="AA889" t="s">
        <v>29</v>
      </c>
      <c r="AB889" t="b">
        <v>1</v>
      </c>
      <c r="AD889" s="2"/>
    </row>
    <row r="890" spans="1:30" x14ac:dyDescent="0.25">
      <c r="A890">
        <v>889</v>
      </c>
      <c r="B890" t="s">
        <v>25</v>
      </c>
      <c r="C890" s="3">
        <v>38771</v>
      </c>
      <c r="D890" s="2">
        <f ca="1">DATEDIF(gym_membership[[#This Row],[birthday]],TODAY(),"y")</f>
        <v>20</v>
      </c>
      <c r="E890">
        <v>18</v>
      </c>
      <c r="F890" t="s">
        <v>18</v>
      </c>
      <c r="G890">
        <v>3</v>
      </c>
      <c r="H890" t="s">
        <v>78</v>
      </c>
      <c r="I890" t="s">
        <v>44</v>
      </c>
      <c r="J890" t="s">
        <v>34</v>
      </c>
      <c r="K890" t="s">
        <v>95</v>
      </c>
      <c r="N890" t="b">
        <v>1</v>
      </c>
      <c r="O890" t="s">
        <v>406</v>
      </c>
      <c r="P890" t="s">
        <v>100</v>
      </c>
      <c r="Q890" t="s">
        <v>128</v>
      </c>
      <c r="R890" t="s">
        <v>96</v>
      </c>
      <c r="S890" s="1">
        <v>0.48680555555555555</v>
      </c>
      <c r="T890" s="1">
        <v>0.54722222222222228</v>
      </c>
      <c r="U890">
        <v>87</v>
      </c>
      <c r="V890" t="b">
        <v>0</v>
      </c>
      <c r="W890" t="s">
        <v>21</v>
      </c>
      <c r="Z890" t="b">
        <v>0</v>
      </c>
      <c r="AA890" t="s">
        <v>456</v>
      </c>
      <c r="AB890" t="b">
        <v>0</v>
      </c>
      <c r="AD890" s="2"/>
    </row>
    <row r="891" spans="1:30" x14ac:dyDescent="0.25">
      <c r="A891">
        <v>890</v>
      </c>
      <c r="B891" t="s">
        <v>25</v>
      </c>
      <c r="C891" s="3">
        <v>35670</v>
      </c>
      <c r="D891" s="2">
        <f ca="1">DATEDIF(gym_membership[[#This Row],[birthday]],TODAY(),"y")</f>
        <v>29</v>
      </c>
      <c r="E891">
        <v>27</v>
      </c>
      <c r="F891" t="s">
        <v>18</v>
      </c>
      <c r="G891">
        <v>3</v>
      </c>
      <c r="H891" t="s">
        <v>35</v>
      </c>
      <c r="I891" t="s">
        <v>26</v>
      </c>
      <c r="J891" t="s">
        <v>95</v>
      </c>
      <c r="K891" t="s">
        <v>77</v>
      </c>
      <c r="N891" t="b">
        <v>0</v>
      </c>
      <c r="O891" t="s">
        <v>21</v>
      </c>
      <c r="S891" s="1">
        <v>0.84583333333333333</v>
      </c>
      <c r="T891" s="1">
        <v>0.93055555555555558</v>
      </c>
      <c r="U891">
        <v>122</v>
      </c>
      <c r="V891" t="b">
        <v>1</v>
      </c>
      <c r="W891" t="s">
        <v>31</v>
      </c>
      <c r="X891" t="s">
        <v>31</v>
      </c>
      <c r="Z891" t="b">
        <v>1</v>
      </c>
      <c r="AA891" t="s">
        <v>45</v>
      </c>
      <c r="AB891" t="b">
        <v>0</v>
      </c>
      <c r="AD891" s="2"/>
    </row>
    <row r="892" spans="1:30" x14ac:dyDescent="0.25">
      <c r="A892">
        <v>891</v>
      </c>
      <c r="B892" t="s">
        <v>25</v>
      </c>
      <c r="C892" s="3">
        <v>28387</v>
      </c>
      <c r="D892" s="2">
        <f ca="1">DATEDIF(gym_membership[[#This Row],[birthday]],TODAY(),"y")</f>
        <v>48</v>
      </c>
      <c r="E892">
        <v>47</v>
      </c>
      <c r="F892" t="s">
        <v>18</v>
      </c>
      <c r="G892">
        <v>5</v>
      </c>
      <c r="H892" t="s">
        <v>159</v>
      </c>
      <c r="I892" t="s">
        <v>26</v>
      </c>
      <c r="J892" t="s">
        <v>94</v>
      </c>
      <c r="K892" t="s">
        <v>95</v>
      </c>
      <c r="L892" t="s">
        <v>57</v>
      </c>
      <c r="M892" t="s">
        <v>77</v>
      </c>
      <c r="N892" t="b">
        <v>0</v>
      </c>
      <c r="O892" t="s">
        <v>21</v>
      </c>
      <c r="S892" s="1">
        <v>0.47638888888888886</v>
      </c>
      <c r="T892" s="1">
        <v>0.53819444444444442</v>
      </c>
      <c r="U892">
        <v>89</v>
      </c>
      <c r="V892" t="b">
        <v>0</v>
      </c>
      <c r="W892" t="s">
        <v>21</v>
      </c>
      <c r="Z892" t="b">
        <v>0</v>
      </c>
      <c r="AA892" t="s">
        <v>456</v>
      </c>
      <c r="AB892" t="b">
        <v>1</v>
      </c>
      <c r="AD892" s="2"/>
    </row>
    <row r="893" spans="1:30" x14ac:dyDescent="0.25">
      <c r="A893">
        <v>892</v>
      </c>
      <c r="B893" t="s">
        <v>25</v>
      </c>
      <c r="C893" s="3">
        <v>34298</v>
      </c>
      <c r="D893" s="2">
        <f ca="1">DATEDIF(gym_membership[[#This Row],[birthday]],TODAY(),"y")</f>
        <v>32</v>
      </c>
      <c r="E893">
        <v>30</v>
      </c>
      <c r="F893" t="s">
        <v>22</v>
      </c>
      <c r="G893">
        <v>2</v>
      </c>
      <c r="H893" t="s">
        <v>48</v>
      </c>
      <c r="I893" t="s">
        <v>94</v>
      </c>
      <c r="J893" t="s">
        <v>77</v>
      </c>
      <c r="N893" t="b">
        <v>0</v>
      </c>
      <c r="O893" t="s">
        <v>21</v>
      </c>
      <c r="S893" s="1">
        <v>0.51527777777777772</v>
      </c>
      <c r="T893" s="1">
        <v>0.62569444444444444</v>
      </c>
      <c r="U893">
        <v>159</v>
      </c>
      <c r="V893" t="b">
        <v>0</v>
      </c>
      <c r="W893" t="s">
        <v>21</v>
      </c>
      <c r="Z893" t="b">
        <v>1</v>
      </c>
      <c r="AA893" t="s">
        <v>29</v>
      </c>
      <c r="AB893" t="b">
        <v>1</v>
      </c>
      <c r="AD893" s="2"/>
    </row>
    <row r="894" spans="1:30" x14ac:dyDescent="0.25">
      <c r="A894">
        <v>893</v>
      </c>
      <c r="B894" t="s">
        <v>25</v>
      </c>
      <c r="C894" s="3">
        <v>30938</v>
      </c>
      <c r="D894" s="2">
        <f ca="1">DATEDIF(gym_membership[[#This Row],[birthday]],TODAY(),"y")</f>
        <v>41</v>
      </c>
      <c r="E894">
        <v>40</v>
      </c>
      <c r="F894" t="s">
        <v>18</v>
      </c>
      <c r="G894">
        <v>2</v>
      </c>
      <c r="H894" t="s">
        <v>106</v>
      </c>
      <c r="I894" t="s">
        <v>26</v>
      </c>
      <c r="J894" t="s">
        <v>57</v>
      </c>
      <c r="N894" t="b">
        <v>1</v>
      </c>
      <c r="O894" t="s">
        <v>407</v>
      </c>
      <c r="P894" t="s">
        <v>58</v>
      </c>
      <c r="Q894" t="s">
        <v>67</v>
      </c>
      <c r="R894" t="s">
        <v>128</v>
      </c>
      <c r="S894" s="1">
        <v>0.85624999999999996</v>
      </c>
      <c r="T894" s="1">
        <v>0.91111111111111109</v>
      </c>
      <c r="U894">
        <v>79</v>
      </c>
      <c r="V894" t="b">
        <v>1</v>
      </c>
      <c r="W894" t="s">
        <v>217</v>
      </c>
      <c r="X894" t="s">
        <v>76</v>
      </c>
      <c r="Y894" t="s">
        <v>59</v>
      </c>
      <c r="Z894" t="b">
        <v>1</v>
      </c>
      <c r="AA894" t="s">
        <v>43</v>
      </c>
      <c r="AB894" t="b">
        <v>1</v>
      </c>
      <c r="AD894" s="2"/>
    </row>
    <row r="895" spans="1:30" x14ac:dyDescent="0.25">
      <c r="A895">
        <v>894</v>
      </c>
      <c r="B895" t="s">
        <v>17</v>
      </c>
      <c r="C895" s="3">
        <v>38067</v>
      </c>
      <c r="D895" s="2">
        <f ca="1">DATEDIF(gym_membership[[#This Row],[birthday]],TODAY(),"y")</f>
        <v>22</v>
      </c>
      <c r="E895">
        <v>20</v>
      </c>
      <c r="F895" t="s">
        <v>22</v>
      </c>
      <c r="G895">
        <v>1</v>
      </c>
      <c r="H895" t="s">
        <v>57</v>
      </c>
      <c r="I895" t="s">
        <v>57</v>
      </c>
      <c r="N895" t="b">
        <v>1</v>
      </c>
      <c r="O895" t="s">
        <v>408</v>
      </c>
      <c r="P895" t="s">
        <v>27</v>
      </c>
      <c r="Q895" t="s">
        <v>67</v>
      </c>
      <c r="R895" t="s">
        <v>72</v>
      </c>
      <c r="S895" s="1">
        <v>0.62916666666666665</v>
      </c>
      <c r="T895" s="1">
        <v>0.69444444444444442</v>
      </c>
      <c r="U895">
        <v>94</v>
      </c>
      <c r="V895" t="b">
        <v>0</v>
      </c>
      <c r="W895" t="s">
        <v>21</v>
      </c>
      <c r="Z895" t="b">
        <v>0</v>
      </c>
      <c r="AA895" t="s">
        <v>456</v>
      </c>
      <c r="AB895" t="b">
        <v>0</v>
      </c>
      <c r="AD895" s="2"/>
    </row>
    <row r="896" spans="1:30" x14ac:dyDescent="0.25">
      <c r="A896">
        <v>895</v>
      </c>
      <c r="B896" t="s">
        <v>25</v>
      </c>
      <c r="C896" s="3">
        <v>32308</v>
      </c>
      <c r="D896" s="2">
        <f ca="1">DATEDIF(gym_membership[[#This Row],[birthday]],TODAY(),"y")</f>
        <v>38</v>
      </c>
      <c r="E896">
        <v>36</v>
      </c>
      <c r="F896" t="s">
        <v>18</v>
      </c>
      <c r="G896">
        <v>3</v>
      </c>
      <c r="H896" t="s">
        <v>214</v>
      </c>
      <c r="I896" t="s">
        <v>34</v>
      </c>
      <c r="J896" t="s">
        <v>26</v>
      </c>
      <c r="K896" t="s">
        <v>57</v>
      </c>
      <c r="N896" t="b">
        <v>0</v>
      </c>
      <c r="O896" t="s">
        <v>21</v>
      </c>
      <c r="S896" s="1">
        <v>0.70347222222222228</v>
      </c>
      <c r="T896" s="1">
        <v>0.75624999999999998</v>
      </c>
      <c r="U896">
        <v>76</v>
      </c>
      <c r="V896" t="b">
        <v>0</v>
      </c>
      <c r="W896" t="s">
        <v>21</v>
      </c>
      <c r="Z896" t="b">
        <v>1</v>
      </c>
      <c r="AA896" t="s">
        <v>45</v>
      </c>
      <c r="AB896" t="b">
        <v>0</v>
      </c>
      <c r="AD896" s="2"/>
    </row>
    <row r="897" spans="1:30" x14ac:dyDescent="0.25">
      <c r="A897">
        <v>896</v>
      </c>
      <c r="B897" t="s">
        <v>17</v>
      </c>
      <c r="C897" s="3">
        <v>28983</v>
      </c>
      <c r="D897" s="2">
        <f ca="1">DATEDIF(gym_membership[[#This Row],[birthday]],TODAY(),"y")</f>
        <v>47</v>
      </c>
      <c r="E897">
        <v>45</v>
      </c>
      <c r="F897" t="s">
        <v>18</v>
      </c>
      <c r="G897">
        <v>4</v>
      </c>
      <c r="H897" t="s">
        <v>409</v>
      </c>
      <c r="I897" t="s">
        <v>44</v>
      </c>
      <c r="J897" t="s">
        <v>94</v>
      </c>
      <c r="K897" t="s">
        <v>95</v>
      </c>
      <c r="L897" t="s">
        <v>57</v>
      </c>
      <c r="N897" t="b">
        <v>0</v>
      </c>
      <c r="O897" t="s">
        <v>21</v>
      </c>
      <c r="S897" s="1">
        <v>0.4201388888888889</v>
      </c>
      <c r="T897" s="1">
        <v>0.4548611111111111</v>
      </c>
      <c r="U897">
        <v>50</v>
      </c>
      <c r="V897" t="b">
        <v>1</v>
      </c>
      <c r="W897" t="s">
        <v>97</v>
      </c>
      <c r="X897" t="s">
        <v>39</v>
      </c>
      <c r="Y897" t="s">
        <v>31</v>
      </c>
      <c r="Z897" t="b">
        <v>1</v>
      </c>
      <c r="AA897" t="s">
        <v>45</v>
      </c>
      <c r="AB897" t="b">
        <v>1</v>
      </c>
      <c r="AD897" s="2"/>
    </row>
    <row r="898" spans="1:30" x14ac:dyDescent="0.25">
      <c r="A898">
        <v>897</v>
      </c>
      <c r="B898" t="s">
        <v>17</v>
      </c>
      <c r="C898" s="3">
        <v>32087</v>
      </c>
      <c r="D898" s="2">
        <f ca="1">DATEDIF(gym_membership[[#This Row],[birthday]],TODAY(),"y")</f>
        <v>38</v>
      </c>
      <c r="E898">
        <v>36</v>
      </c>
      <c r="F898" t="s">
        <v>18</v>
      </c>
      <c r="G898">
        <v>3</v>
      </c>
      <c r="H898" t="s">
        <v>84</v>
      </c>
      <c r="I898" t="s">
        <v>26</v>
      </c>
      <c r="J898" t="s">
        <v>94</v>
      </c>
      <c r="K898" t="s">
        <v>57</v>
      </c>
      <c r="N898" t="b">
        <v>1</v>
      </c>
      <c r="O898" t="s">
        <v>410</v>
      </c>
      <c r="P898" t="s">
        <v>58</v>
      </c>
      <c r="Q898" t="s">
        <v>67</v>
      </c>
      <c r="R898" t="s">
        <v>72</v>
      </c>
      <c r="S898" s="1">
        <v>0.40208333333333335</v>
      </c>
      <c r="T898" s="1">
        <v>0.46388888888888891</v>
      </c>
      <c r="U898">
        <v>89</v>
      </c>
      <c r="V898" t="b">
        <v>0</v>
      </c>
      <c r="W898" t="s">
        <v>21</v>
      </c>
      <c r="Z898" t="b">
        <v>0</v>
      </c>
      <c r="AA898" t="s">
        <v>456</v>
      </c>
      <c r="AB898" t="b">
        <v>1</v>
      </c>
      <c r="AD898" s="2"/>
    </row>
    <row r="899" spans="1:30" x14ac:dyDescent="0.25">
      <c r="A899">
        <v>898</v>
      </c>
      <c r="B899" t="s">
        <v>17</v>
      </c>
      <c r="C899" s="3">
        <v>32077</v>
      </c>
      <c r="D899" s="2">
        <f ca="1">DATEDIF(gym_membership[[#This Row],[birthday]],TODAY(),"y")</f>
        <v>38</v>
      </c>
      <c r="E899">
        <v>36</v>
      </c>
      <c r="F899" t="s">
        <v>18</v>
      </c>
      <c r="G899">
        <v>1</v>
      </c>
      <c r="H899" t="s">
        <v>44</v>
      </c>
      <c r="I899" t="s">
        <v>44</v>
      </c>
      <c r="N899" t="b">
        <v>0</v>
      </c>
      <c r="O899" t="s">
        <v>21</v>
      </c>
      <c r="S899" s="1">
        <v>0.46180555555555558</v>
      </c>
      <c r="T899" s="1">
        <v>0.51944444444444449</v>
      </c>
      <c r="U899">
        <v>83</v>
      </c>
      <c r="V899" t="b">
        <v>1</v>
      </c>
      <c r="W899" t="s">
        <v>52</v>
      </c>
      <c r="X899" t="s">
        <v>59</v>
      </c>
      <c r="Y899" t="s">
        <v>51</v>
      </c>
      <c r="Z899" t="b">
        <v>0</v>
      </c>
      <c r="AA899" t="s">
        <v>456</v>
      </c>
      <c r="AB899" t="b">
        <v>1</v>
      </c>
      <c r="AD899" s="2"/>
    </row>
    <row r="900" spans="1:30" x14ac:dyDescent="0.25">
      <c r="A900">
        <v>899</v>
      </c>
      <c r="B900" t="s">
        <v>25</v>
      </c>
      <c r="C900" s="3">
        <v>39534</v>
      </c>
      <c r="D900" s="2">
        <f ca="1">DATEDIF(gym_membership[[#This Row],[birthday]],TODAY(),"y")</f>
        <v>18</v>
      </c>
      <c r="E900">
        <v>16</v>
      </c>
      <c r="F900" t="s">
        <v>22</v>
      </c>
      <c r="G900">
        <v>1</v>
      </c>
      <c r="H900" t="s">
        <v>34</v>
      </c>
      <c r="I900" t="s">
        <v>34</v>
      </c>
      <c r="N900" t="b">
        <v>1</v>
      </c>
      <c r="O900" t="s">
        <v>275</v>
      </c>
      <c r="P900" t="s">
        <v>27</v>
      </c>
      <c r="Q900" t="s">
        <v>103</v>
      </c>
      <c r="S900" s="1">
        <v>0.54097222222222219</v>
      </c>
      <c r="T900" s="1">
        <v>0.58750000000000002</v>
      </c>
      <c r="U900">
        <v>67</v>
      </c>
      <c r="V900" t="b">
        <v>0</v>
      </c>
      <c r="W900" t="s">
        <v>21</v>
      </c>
      <c r="Z900" t="b">
        <v>0</v>
      </c>
      <c r="AA900" t="s">
        <v>456</v>
      </c>
      <c r="AB900" t="b">
        <v>1</v>
      </c>
      <c r="AD900" s="2"/>
    </row>
    <row r="901" spans="1:30" x14ac:dyDescent="0.25">
      <c r="A901">
        <v>900</v>
      </c>
      <c r="B901" t="s">
        <v>17</v>
      </c>
      <c r="C901" s="3">
        <v>36715</v>
      </c>
      <c r="D901" s="2">
        <f ca="1">DATEDIF(gym_membership[[#This Row],[birthday]],TODAY(),"y")</f>
        <v>26</v>
      </c>
      <c r="E901">
        <v>24</v>
      </c>
      <c r="F901" t="s">
        <v>22</v>
      </c>
      <c r="G901">
        <v>3</v>
      </c>
      <c r="H901" t="s">
        <v>165</v>
      </c>
      <c r="I901" t="s">
        <v>44</v>
      </c>
      <c r="J901" t="s">
        <v>26</v>
      </c>
      <c r="K901" t="s">
        <v>77</v>
      </c>
      <c r="N901" t="b">
        <v>0</v>
      </c>
      <c r="O901" t="s">
        <v>21</v>
      </c>
      <c r="S901" s="1">
        <v>0.80069444444444449</v>
      </c>
      <c r="T901" s="1">
        <v>0.83472222222222225</v>
      </c>
      <c r="U901">
        <v>49</v>
      </c>
      <c r="V901" t="b">
        <v>0</v>
      </c>
      <c r="W901" t="s">
        <v>21</v>
      </c>
      <c r="Z901" t="b">
        <v>1</v>
      </c>
      <c r="AA901" t="s">
        <v>29</v>
      </c>
      <c r="AB901" t="b">
        <v>1</v>
      </c>
      <c r="AD901" s="2"/>
    </row>
    <row r="902" spans="1:30" x14ac:dyDescent="0.25">
      <c r="A902">
        <v>901</v>
      </c>
      <c r="B902" t="s">
        <v>17</v>
      </c>
      <c r="C902" s="3">
        <v>32290</v>
      </c>
      <c r="D902" s="2">
        <f ca="1">DATEDIF(gym_membership[[#This Row],[birthday]],TODAY(),"y")</f>
        <v>38</v>
      </c>
      <c r="E902">
        <v>36</v>
      </c>
      <c r="F902" t="s">
        <v>18</v>
      </c>
      <c r="G902">
        <v>1</v>
      </c>
      <c r="H902" t="s">
        <v>77</v>
      </c>
      <c r="I902" t="s">
        <v>77</v>
      </c>
      <c r="N902" t="b">
        <v>0</v>
      </c>
      <c r="O902" t="s">
        <v>21</v>
      </c>
      <c r="S902" s="1">
        <v>0.72916666666666663</v>
      </c>
      <c r="T902" s="1">
        <v>0.77777777777777779</v>
      </c>
      <c r="U902">
        <v>70</v>
      </c>
      <c r="V902" t="b">
        <v>1</v>
      </c>
      <c r="W902" t="s">
        <v>39</v>
      </c>
      <c r="X902" t="s">
        <v>39</v>
      </c>
      <c r="Z902" t="b">
        <v>0</v>
      </c>
      <c r="AA902" t="s">
        <v>456</v>
      </c>
      <c r="AB902" t="b">
        <v>0</v>
      </c>
      <c r="AD902" s="2"/>
    </row>
    <row r="903" spans="1:30" x14ac:dyDescent="0.25">
      <c r="A903">
        <v>902</v>
      </c>
      <c r="B903" t="s">
        <v>17</v>
      </c>
      <c r="C903" s="3">
        <v>30695</v>
      </c>
      <c r="D903" s="2">
        <f ca="1">DATEDIF(gym_membership[[#This Row],[birthday]],TODAY(),"y")</f>
        <v>42</v>
      </c>
      <c r="E903">
        <v>40</v>
      </c>
      <c r="F903" t="s">
        <v>22</v>
      </c>
      <c r="G903">
        <v>1</v>
      </c>
      <c r="H903" t="s">
        <v>94</v>
      </c>
      <c r="I903" t="s">
        <v>94</v>
      </c>
      <c r="N903" t="b">
        <v>1</v>
      </c>
      <c r="O903" t="s">
        <v>400</v>
      </c>
      <c r="P903" t="s">
        <v>41</v>
      </c>
      <c r="Q903" t="s">
        <v>100</v>
      </c>
      <c r="S903" s="1">
        <v>0.66874999999999996</v>
      </c>
      <c r="T903" s="1">
        <v>0.74236111111111114</v>
      </c>
      <c r="U903">
        <v>106</v>
      </c>
      <c r="V903" t="b">
        <v>0</v>
      </c>
      <c r="W903" t="s">
        <v>21</v>
      </c>
      <c r="Z903" t="b">
        <v>0</v>
      </c>
      <c r="AA903" t="s">
        <v>456</v>
      </c>
      <c r="AB903" t="b">
        <v>1</v>
      </c>
      <c r="AD903" s="2"/>
    </row>
    <row r="904" spans="1:30" x14ac:dyDescent="0.25">
      <c r="A904">
        <v>903</v>
      </c>
      <c r="B904" t="s">
        <v>17</v>
      </c>
      <c r="C904" s="3">
        <v>30755</v>
      </c>
      <c r="D904" s="2">
        <f ca="1">DATEDIF(gym_membership[[#This Row],[birthday]],TODAY(),"y")</f>
        <v>42</v>
      </c>
      <c r="E904">
        <v>40</v>
      </c>
      <c r="F904" t="s">
        <v>18</v>
      </c>
      <c r="G904">
        <v>2</v>
      </c>
      <c r="H904" t="s">
        <v>228</v>
      </c>
      <c r="I904" t="s">
        <v>44</v>
      </c>
      <c r="J904" t="s">
        <v>95</v>
      </c>
      <c r="N904" t="b">
        <v>1</v>
      </c>
      <c r="O904" t="s">
        <v>27</v>
      </c>
      <c r="P904" t="s">
        <v>27</v>
      </c>
      <c r="S904" s="1">
        <v>0.79652777777777772</v>
      </c>
      <c r="T904" s="1">
        <v>0.89166666666666672</v>
      </c>
      <c r="U904">
        <v>137</v>
      </c>
      <c r="V904" t="b">
        <v>0</v>
      </c>
      <c r="W904" t="s">
        <v>21</v>
      </c>
      <c r="Z904" t="b">
        <v>1</v>
      </c>
      <c r="AA904" t="s">
        <v>43</v>
      </c>
      <c r="AB904" t="b">
        <v>0</v>
      </c>
      <c r="AD904" s="2"/>
    </row>
    <row r="905" spans="1:30" x14ac:dyDescent="0.25">
      <c r="A905">
        <v>904</v>
      </c>
      <c r="B905" t="s">
        <v>17</v>
      </c>
      <c r="C905" s="3">
        <v>40188</v>
      </c>
      <c r="D905" s="2">
        <f ca="1">DATEDIF(gym_membership[[#This Row],[birthday]],TODAY(),"y")</f>
        <v>16</v>
      </c>
      <c r="E905">
        <v>14</v>
      </c>
      <c r="F905" t="s">
        <v>18</v>
      </c>
      <c r="G905">
        <v>2</v>
      </c>
      <c r="H905" t="s">
        <v>140</v>
      </c>
      <c r="I905" t="s">
        <v>26</v>
      </c>
      <c r="J905" t="s">
        <v>94</v>
      </c>
      <c r="N905" t="b">
        <v>0</v>
      </c>
      <c r="O905" t="s">
        <v>21</v>
      </c>
      <c r="S905" s="1">
        <v>0.42291666666666666</v>
      </c>
      <c r="T905" s="1">
        <v>0.46875</v>
      </c>
      <c r="U905">
        <v>66</v>
      </c>
      <c r="V905" t="b">
        <v>0</v>
      </c>
      <c r="W905" t="s">
        <v>21</v>
      </c>
      <c r="Z905" t="b">
        <v>1</v>
      </c>
      <c r="AA905" t="s">
        <v>24</v>
      </c>
      <c r="AB905" t="b">
        <v>1</v>
      </c>
      <c r="AD905" s="2"/>
    </row>
    <row r="906" spans="1:30" x14ac:dyDescent="0.25">
      <c r="A906">
        <v>905</v>
      </c>
      <c r="B906" t="s">
        <v>17</v>
      </c>
      <c r="C906" s="3">
        <v>33479</v>
      </c>
      <c r="D906" s="2">
        <f ca="1">DATEDIF(gym_membership[[#This Row],[birthday]],TODAY(),"y")</f>
        <v>35</v>
      </c>
      <c r="E906">
        <v>33</v>
      </c>
      <c r="F906" t="s">
        <v>18</v>
      </c>
      <c r="G906">
        <v>1</v>
      </c>
      <c r="H906" t="s">
        <v>77</v>
      </c>
      <c r="I906" t="s">
        <v>77</v>
      </c>
      <c r="N906" t="b">
        <v>0</v>
      </c>
      <c r="O906" t="s">
        <v>21</v>
      </c>
      <c r="S906" s="1">
        <v>0.58958333333333335</v>
      </c>
      <c r="T906" s="1">
        <v>0.69861111111111107</v>
      </c>
      <c r="U906">
        <v>157</v>
      </c>
      <c r="V906" t="b">
        <v>0</v>
      </c>
      <c r="W906" t="s">
        <v>21</v>
      </c>
      <c r="Z906" t="b">
        <v>0</v>
      </c>
      <c r="AA906" t="s">
        <v>456</v>
      </c>
      <c r="AB906" t="b">
        <v>0</v>
      </c>
      <c r="AD906" s="2"/>
    </row>
    <row r="907" spans="1:30" x14ac:dyDescent="0.25">
      <c r="A907">
        <v>906</v>
      </c>
      <c r="B907" t="s">
        <v>25</v>
      </c>
      <c r="C907" s="3">
        <v>29851</v>
      </c>
      <c r="D907" s="2">
        <f ca="1">DATEDIF(gym_membership[[#This Row],[birthday]],TODAY(),"y")</f>
        <v>44</v>
      </c>
      <c r="E907">
        <v>43</v>
      </c>
      <c r="F907" t="s">
        <v>22</v>
      </c>
      <c r="G907">
        <v>1</v>
      </c>
      <c r="H907" t="s">
        <v>94</v>
      </c>
      <c r="I907" t="s">
        <v>94</v>
      </c>
      <c r="N907" t="b">
        <v>0</v>
      </c>
      <c r="O907" t="s">
        <v>21</v>
      </c>
      <c r="S907" s="1">
        <v>0.39027777777777778</v>
      </c>
      <c r="T907" s="1">
        <v>0.42708333333333331</v>
      </c>
      <c r="U907">
        <v>53</v>
      </c>
      <c r="V907" t="b">
        <v>0</v>
      </c>
      <c r="W907" t="s">
        <v>21</v>
      </c>
      <c r="Z907" t="b">
        <v>1</v>
      </c>
      <c r="AA907" t="s">
        <v>29</v>
      </c>
      <c r="AB907" t="b">
        <v>0</v>
      </c>
      <c r="AD907" s="2"/>
    </row>
    <row r="908" spans="1:30" x14ac:dyDescent="0.25">
      <c r="A908">
        <v>907</v>
      </c>
      <c r="B908" t="s">
        <v>25</v>
      </c>
      <c r="C908" s="3">
        <v>27969</v>
      </c>
      <c r="D908" s="2">
        <f ca="1">DATEDIF(gym_membership[[#This Row],[birthday]],TODAY(),"y")</f>
        <v>50</v>
      </c>
      <c r="E908">
        <v>48</v>
      </c>
      <c r="F908" t="s">
        <v>22</v>
      </c>
      <c r="G908">
        <v>2</v>
      </c>
      <c r="H908" t="s">
        <v>32</v>
      </c>
      <c r="I908" t="s">
        <v>95</v>
      </c>
      <c r="J908" t="s">
        <v>77</v>
      </c>
      <c r="N908" t="b">
        <v>1</v>
      </c>
      <c r="O908" t="s">
        <v>411</v>
      </c>
      <c r="P908" t="s">
        <v>72</v>
      </c>
      <c r="Q908" t="s">
        <v>67</v>
      </c>
      <c r="R908" t="s">
        <v>27</v>
      </c>
      <c r="S908" s="1">
        <v>0.6333333333333333</v>
      </c>
      <c r="T908" s="1">
        <v>0.72013888888888888</v>
      </c>
      <c r="U908">
        <v>125</v>
      </c>
      <c r="V908" t="b">
        <v>1</v>
      </c>
      <c r="W908" t="s">
        <v>207</v>
      </c>
      <c r="X908" t="s">
        <v>76</v>
      </c>
      <c r="Y908" t="s">
        <v>51</v>
      </c>
      <c r="Z908" t="b">
        <v>0</v>
      </c>
      <c r="AA908" t="s">
        <v>456</v>
      </c>
      <c r="AB908" t="b">
        <v>0</v>
      </c>
      <c r="AD908" s="2"/>
    </row>
    <row r="909" spans="1:30" x14ac:dyDescent="0.25">
      <c r="A909">
        <v>908</v>
      </c>
      <c r="B909" t="s">
        <v>17</v>
      </c>
      <c r="C909" s="3">
        <v>40990</v>
      </c>
      <c r="D909" s="2">
        <f ca="1">DATEDIF(gym_membership[[#This Row],[birthday]],TODAY(),"y")</f>
        <v>14</v>
      </c>
      <c r="E909">
        <v>12</v>
      </c>
      <c r="F909" t="s">
        <v>22</v>
      </c>
      <c r="G909">
        <v>5</v>
      </c>
      <c r="H909" t="s">
        <v>248</v>
      </c>
      <c r="I909" t="s">
        <v>44</v>
      </c>
      <c r="J909" t="s">
        <v>34</v>
      </c>
      <c r="K909" t="s">
        <v>94</v>
      </c>
      <c r="L909" t="s">
        <v>95</v>
      </c>
      <c r="M909" t="s">
        <v>77</v>
      </c>
      <c r="N909" t="b">
        <v>0</v>
      </c>
      <c r="O909" t="s">
        <v>21</v>
      </c>
      <c r="S909" s="1">
        <v>0.43402777777777779</v>
      </c>
      <c r="T909" s="1">
        <v>0.51249999999999996</v>
      </c>
      <c r="U909">
        <v>113</v>
      </c>
      <c r="V909" t="b">
        <v>0</v>
      </c>
      <c r="W909" t="s">
        <v>21</v>
      </c>
      <c r="Z909" t="b">
        <v>0</v>
      </c>
      <c r="AA909" t="s">
        <v>456</v>
      </c>
      <c r="AB909" t="b">
        <v>1</v>
      </c>
      <c r="AD909" s="2"/>
    </row>
    <row r="910" spans="1:30" x14ac:dyDescent="0.25">
      <c r="A910">
        <v>909</v>
      </c>
      <c r="B910" t="s">
        <v>25</v>
      </c>
      <c r="C910" s="3">
        <v>31070</v>
      </c>
      <c r="D910" s="2">
        <f ca="1">DATEDIF(gym_membership[[#This Row],[birthday]],TODAY(),"y")</f>
        <v>41</v>
      </c>
      <c r="E910">
        <v>39</v>
      </c>
      <c r="F910" t="s">
        <v>18</v>
      </c>
      <c r="G910">
        <v>4</v>
      </c>
      <c r="H910" t="s">
        <v>219</v>
      </c>
      <c r="I910" t="s">
        <v>94</v>
      </c>
      <c r="J910" t="s">
        <v>95</v>
      </c>
      <c r="K910" t="s">
        <v>57</v>
      </c>
      <c r="L910" t="s">
        <v>77</v>
      </c>
      <c r="N910" t="b">
        <v>1</v>
      </c>
      <c r="O910" t="s">
        <v>267</v>
      </c>
      <c r="P910" t="s">
        <v>96</v>
      </c>
      <c r="Q910" t="s">
        <v>91</v>
      </c>
      <c r="S910" s="1">
        <v>0.56597222222222221</v>
      </c>
      <c r="T910" s="1">
        <v>0.60902777777777772</v>
      </c>
      <c r="U910">
        <v>62</v>
      </c>
      <c r="V910" t="b">
        <v>1</v>
      </c>
      <c r="W910" t="s">
        <v>69</v>
      </c>
      <c r="X910" t="s">
        <v>65</v>
      </c>
      <c r="Y910" t="s">
        <v>39</v>
      </c>
      <c r="Z910" t="b">
        <v>1</v>
      </c>
      <c r="AA910" t="s">
        <v>24</v>
      </c>
      <c r="AB910" t="b">
        <v>1</v>
      </c>
      <c r="AD910" s="2"/>
    </row>
    <row r="911" spans="1:30" x14ac:dyDescent="0.25">
      <c r="A911">
        <v>910</v>
      </c>
      <c r="B911" t="s">
        <v>25</v>
      </c>
      <c r="C911" s="3">
        <v>34582</v>
      </c>
      <c r="D911" s="2">
        <f ca="1">DATEDIF(gym_membership[[#This Row],[birthday]],TODAY(),"y")</f>
        <v>31</v>
      </c>
      <c r="E911">
        <v>30</v>
      </c>
      <c r="F911" t="s">
        <v>18</v>
      </c>
      <c r="G911">
        <v>3</v>
      </c>
      <c r="H911" t="s">
        <v>149</v>
      </c>
      <c r="I911" t="s">
        <v>26</v>
      </c>
      <c r="J911" t="s">
        <v>94</v>
      </c>
      <c r="K911" t="s">
        <v>77</v>
      </c>
      <c r="N911" t="b">
        <v>1</v>
      </c>
      <c r="O911" t="s">
        <v>58</v>
      </c>
      <c r="P911" t="s">
        <v>58</v>
      </c>
      <c r="S911" s="1">
        <v>0.46458333333333335</v>
      </c>
      <c r="T911" s="1">
        <v>0.51736111111111116</v>
      </c>
      <c r="U911">
        <v>76</v>
      </c>
      <c r="V911" t="b">
        <v>1</v>
      </c>
      <c r="W911" t="s">
        <v>207</v>
      </c>
      <c r="X911" t="s">
        <v>76</v>
      </c>
      <c r="Y911" t="s">
        <v>51</v>
      </c>
      <c r="Z911" t="b">
        <v>0</v>
      </c>
      <c r="AA911" t="s">
        <v>456</v>
      </c>
      <c r="AB911" t="b">
        <v>1</v>
      </c>
      <c r="AD911" s="2"/>
    </row>
    <row r="912" spans="1:30" x14ac:dyDescent="0.25">
      <c r="A912">
        <v>911</v>
      </c>
      <c r="B912" t="s">
        <v>17</v>
      </c>
      <c r="C912" s="3">
        <v>36684</v>
      </c>
      <c r="D912" s="2">
        <f ca="1">DATEDIF(gym_membership[[#This Row],[birthday]],TODAY(),"y")</f>
        <v>26</v>
      </c>
      <c r="E912">
        <v>24</v>
      </c>
      <c r="F912" t="s">
        <v>22</v>
      </c>
      <c r="G912">
        <v>3</v>
      </c>
      <c r="H912" t="s">
        <v>145</v>
      </c>
      <c r="I912" t="s">
        <v>34</v>
      </c>
      <c r="J912" t="s">
        <v>26</v>
      </c>
      <c r="K912" t="s">
        <v>94</v>
      </c>
      <c r="N912" t="b">
        <v>1</v>
      </c>
      <c r="O912" t="s">
        <v>27</v>
      </c>
      <c r="P912" t="s">
        <v>27</v>
      </c>
      <c r="S912" s="1">
        <v>0.87013888888888891</v>
      </c>
      <c r="T912" s="1">
        <v>0.8979166666666667</v>
      </c>
      <c r="U912">
        <v>40</v>
      </c>
      <c r="V912" t="b">
        <v>0</v>
      </c>
      <c r="W912" t="s">
        <v>21</v>
      </c>
      <c r="Z912" t="b">
        <v>0</v>
      </c>
      <c r="AA912" t="s">
        <v>456</v>
      </c>
      <c r="AB912" t="b">
        <v>1</v>
      </c>
      <c r="AD912" s="2"/>
    </row>
    <row r="913" spans="1:30" x14ac:dyDescent="0.25">
      <c r="A913">
        <v>912</v>
      </c>
      <c r="B913" t="s">
        <v>17</v>
      </c>
      <c r="C913" s="3">
        <v>28356</v>
      </c>
      <c r="D913" s="2">
        <f ca="1">DATEDIF(gym_membership[[#This Row],[birthday]],TODAY(),"y")</f>
        <v>49</v>
      </c>
      <c r="E913">
        <v>47</v>
      </c>
      <c r="F913" t="s">
        <v>22</v>
      </c>
      <c r="G913">
        <v>1</v>
      </c>
      <c r="H913" t="s">
        <v>34</v>
      </c>
      <c r="I913" t="s">
        <v>34</v>
      </c>
      <c r="N913" t="b">
        <v>0</v>
      </c>
      <c r="O913" t="s">
        <v>21</v>
      </c>
      <c r="S913" s="1">
        <v>0.81388888888888888</v>
      </c>
      <c r="T913" s="1">
        <v>0.84861111111111109</v>
      </c>
      <c r="U913">
        <v>50</v>
      </c>
      <c r="V913" t="b">
        <v>1</v>
      </c>
      <c r="W913" t="s">
        <v>65</v>
      </c>
      <c r="X913" t="s">
        <v>65</v>
      </c>
      <c r="Z913" t="b">
        <v>0</v>
      </c>
      <c r="AA913" t="s">
        <v>456</v>
      </c>
      <c r="AB913" t="b">
        <v>0</v>
      </c>
      <c r="AD913" s="2"/>
    </row>
    <row r="914" spans="1:30" x14ac:dyDescent="0.25">
      <c r="A914">
        <v>913</v>
      </c>
      <c r="B914" t="s">
        <v>25</v>
      </c>
      <c r="C914" s="3">
        <v>32838</v>
      </c>
      <c r="D914" s="2">
        <f ca="1">DATEDIF(gym_membership[[#This Row],[birthday]],TODAY(),"y")</f>
        <v>36</v>
      </c>
      <c r="E914">
        <v>34</v>
      </c>
      <c r="F914" t="s">
        <v>22</v>
      </c>
      <c r="G914">
        <v>1</v>
      </c>
      <c r="H914" t="s">
        <v>94</v>
      </c>
      <c r="I914" t="s">
        <v>94</v>
      </c>
      <c r="N914" t="b">
        <v>1</v>
      </c>
      <c r="O914" t="s">
        <v>390</v>
      </c>
      <c r="P914" t="s">
        <v>91</v>
      </c>
      <c r="Q914" t="s">
        <v>128</v>
      </c>
      <c r="R914" t="s">
        <v>72</v>
      </c>
      <c r="S914" s="1">
        <v>0.61597222222222225</v>
      </c>
      <c r="T914" s="1">
        <v>0.7006944444444444</v>
      </c>
      <c r="U914">
        <v>122</v>
      </c>
      <c r="V914" t="b">
        <v>1</v>
      </c>
      <c r="W914" t="s">
        <v>108</v>
      </c>
      <c r="X914" t="s">
        <v>51</v>
      </c>
      <c r="Y914" t="s">
        <v>31</v>
      </c>
      <c r="Z914" t="b">
        <v>0</v>
      </c>
      <c r="AA914" t="s">
        <v>456</v>
      </c>
      <c r="AB914" t="b">
        <v>0</v>
      </c>
      <c r="AD914" s="2"/>
    </row>
    <row r="915" spans="1:30" x14ac:dyDescent="0.25">
      <c r="A915">
        <v>914</v>
      </c>
      <c r="B915" t="s">
        <v>25</v>
      </c>
      <c r="C915" s="3">
        <v>34487</v>
      </c>
      <c r="D915" s="2">
        <f ca="1">DATEDIF(gym_membership[[#This Row],[birthday]],TODAY(),"y")</f>
        <v>32</v>
      </c>
      <c r="E915">
        <v>30</v>
      </c>
      <c r="F915" t="s">
        <v>18</v>
      </c>
      <c r="G915">
        <v>1</v>
      </c>
      <c r="H915" t="s">
        <v>44</v>
      </c>
      <c r="I915" t="s">
        <v>44</v>
      </c>
      <c r="N915" t="b">
        <v>0</v>
      </c>
      <c r="O915" t="s">
        <v>21</v>
      </c>
      <c r="S915" s="1">
        <v>0.7368055555555556</v>
      </c>
      <c r="T915" s="1">
        <v>0.79027777777777775</v>
      </c>
      <c r="U915">
        <v>77</v>
      </c>
      <c r="V915" t="b">
        <v>1</v>
      </c>
      <c r="W915" t="s">
        <v>65</v>
      </c>
      <c r="X915" t="s">
        <v>65</v>
      </c>
      <c r="Z915" t="b">
        <v>0</v>
      </c>
      <c r="AA915" t="s">
        <v>456</v>
      </c>
      <c r="AB915" t="b">
        <v>1</v>
      </c>
      <c r="AD915" s="2"/>
    </row>
    <row r="916" spans="1:30" x14ac:dyDescent="0.25">
      <c r="A916">
        <v>915</v>
      </c>
      <c r="B916" t="s">
        <v>17</v>
      </c>
      <c r="C916" s="3">
        <v>36993</v>
      </c>
      <c r="D916" s="2">
        <f ca="1">DATEDIF(gym_membership[[#This Row],[birthday]],TODAY(),"y")</f>
        <v>25</v>
      </c>
      <c r="E916">
        <v>23</v>
      </c>
      <c r="F916" t="s">
        <v>22</v>
      </c>
      <c r="G916">
        <v>1</v>
      </c>
      <c r="H916" t="s">
        <v>77</v>
      </c>
      <c r="I916" t="s">
        <v>77</v>
      </c>
      <c r="N916" t="b">
        <v>1</v>
      </c>
      <c r="O916" t="s">
        <v>297</v>
      </c>
      <c r="P916" t="s">
        <v>120</v>
      </c>
      <c r="Q916" t="s">
        <v>58</v>
      </c>
      <c r="S916" s="1">
        <v>0.79166666666666663</v>
      </c>
      <c r="T916" s="1">
        <v>0.8256944444444444</v>
      </c>
      <c r="U916">
        <v>49</v>
      </c>
      <c r="V916" t="b">
        <v>1</v>
      </c>
      <c r="W916" t="s">
        <v>124</v>
      </c>
      <c r="X916" t="s">
        <v>31</v>
      </c>
      <c r="Y916" t="s">
        <v>39</v>
      </c>
      <c r="Z916" t="b">
        <v>0</v>
      </c>
      <c r="AA916" t="s">
        <v>456</v>
      </c>
      <c r="AB916" t="b">
        <v>1</v>
      </c>
      <c r="AD916" s="2"/>
    </row>
    <row r="917" spans="1:30" x14ac:dyDescent="0.25">
      <c r="A917">
        <v>916</v>
      </c>
      <c r="B917" t="s">
        <v>25</v>
      </c>
      <c r="C917" s="3">
        <v>36752</v>
      </c>
      <c r="D917" s="2">
        <f ca="1">DATEDIF(gym_membership[[#This Row],[birthday]],TODAY(),"y")</f>
        <v>26</v>
      </c>
      <c r="E917">
        <v>24</v>
      </c>
      <c r="F917" t="s">
        <v>22</v>
      </c>
      <c r="G917">
        <v>1</v>
      </c>
      <c r="H917" t="s">
        <v>44</v>
      </c>
      <c r="I917" t="s">
        <v>44</v>
      </c>
      <c r="N917" t="b">
        <v>1</v>
      </c>
      <c r="O917" t="s">
        <v>412</v>
      </c>
      <c r="P917" t="s">
        <v>120</v>
      </c>
      <c r="Q917" t="s">
        <v>91</v>
      </c>
      <c r="R917" t="s">
        <v>67</v>
      </c>
      <c r="S917" s="1">
        <v>0.62847222222222221</v>
      </c>
      <c r="T917" s="1">
        <v>0.72430555555555554</v>
      </c>
      <c r="U917">
        <v>138</v>
      </c>
      <c r="V917" t="b">
        <v>0</v>
      </c>
      <c r="W917" t="s">
        <v>21</v>
      </c>
      <c r="Z917" t="b">
        <v>0</v>
      </c>
      <c r="AA917" t="s">
        <v>456</v>
      </c>
      <c r="AB917" t="b">
        <v>0</v>
      </c>
      <c r="AD917" s="2"/>
    </row>
    <row r="918" spans="1:30" x14ac:dyDescent="0.25">
      <c r="A918">
        <v>917</v>
      </c>
      <c r="B918" t="s">
        <v>25</v>
      </c>
      <c r="C918" s="3">
        <v>40722</v>
      </c>
      <c r="D918" s="2">
        <f ca="1">DATEDIF(gym_membership[[#This Row],[birthday]],TODAY(),"y")</f>
        <v>15</v>
      </c>
      <c r="E918">
        <v>13</v>
      </c>
      <c r="F918" t="s">
        <v>22</v>
      </c>
      <c r="G918">
        <v>2</v>
      </c>
      <c r="H918" t="s">
        <v>32</v>
      </c>
      <c r="I918" t="s">
        <v>95</v>
      </c>
      <c r="J918" t="s">
        <v>77</v>
      </c>
      <c r="N918" t="b">
        <v>0</v>
      </c>
      <c r="O918" t="s">
        <v>21</v>
      </c>
      <c r="S918" s="1">
        <v>0.81180555555555556</v>
      </c>
      <c r="T918" s="1">
        <v>0.87638888888888888</v>
      </c>
      <c r="U918">
        <v>93</v>
      </c>
      <c r="V918" t="b">
        <v>1</v>
      </c>
      <c r="W918" t="s">
        <v>39</v>
      </c>
      <c r="X918" t="s">
        <v>39</v>
      </c>
      <c r="Z918" t="b">
        <v>0</v>
      </c>
      <c r="AA918" t="s">
        <v>456</v>
      </c>
      <c r="AB918" t="b">
        <v>1</v>
      </c>
      <c r="AD918" s="2"/>
    </row>
    <row r="919" spans="1:30" x14ac:dyDescent="0.25">
      <c r="A919">
        <v>918</v>
      </c>
      <c r="B919" t="s">
        <v>17</v>
      </c>
      <c r="C919" s="3">
        <v>38865</v>
      </c>
      <c r="D919" s="2">
        <f ca="1">DATEDIF(gym_membership[[#This Row],[birthday]],TODAY(),"y")</f>
        <v>20</v>
      </c>
      <c r="E919">
        <v>18</v>
      </c>
      <c r="F919" t="s">
        <v>22</v>
      </c>
      <c r="G919">
        <v>4</v>
      </c>
      <c r="H919" t="s">
        <v>219</v>
      </c>
      <c r="I919" t="s">
        <v>94</v>
      </c>
      <c r="J919" t="s">
        <v>95</v>
      </c>
      <c r="K919" t="s">
        <v>57</v>
      </c>
      <c r="L919" t="s">
        <v>77</v>
      </c>
      <c r="N919" t="b">
        <v>0</v>
      </c>
      <c r="O919" t="s">
        <v>21</v>
      </c>
      <c r="S919" s="1">
        <v>0.47430555555555554</v>
      </c>
      <c r="T919" s="1">
        <v>0.5854166666666667</v>
      </c>
      <c r="U919">
        <v>160</v>
      </c>
      <c r="V919" t="b">
        <v>1</v>
      </c>
      <c r="W919" t="s">
        <v>51</v>
      </c>
      <c r="X919" t="s">
        <v>51</v>
      </c>
      <c r="Z919" t="b">
        <v>0</v>
      </c>
      <c r="AA919" t="s">
        <v>456</v>
      </c>
      <c r="AB919" t="b">
        <v>0</v>
      </c>
      <c r="AD919" s="2"/>
    </row>
    <row r="920" spans="1:30" x14ac:dyDescent="0.25">
      <c r="A920">
        <v>919</v>
      </c>
      <c r="B920" t="s">
        <v>25</v>
      </c>
      <c r="C920" s="3">
        <v>29059</v>
      </c>
      <c r="D920" s="2">
        <f ca="1">DATEDIF(gym_membership[[#This Row],[birthday]],TODAY(),"y")</f>
        <v>47</v>
      </c>
      <c r="E920">
        <v>45</v>
      </c>
      <c r="F920" t="s">
        <v>18</v>
      </c>
      <c r="G920">
        <v>5</v>
      </c>
      <c r="H920" t="s">
        <v>176</v>
      </c>
      <c r="I920" t="s">
        <v>44</v>
      </c>
      <c r="J920" t="s">
        <v>26</v>
      </c>
      <c r="K920" t="s">
        <v>94</v>
      </c>
      <c r="L920" t="s">
        <v>95</v>
      </c>
      <c r="M920" t="s">
        <v>57</v>
      </c>
      <c r="N920" t="b">
        <v>0</v>
      </c>
      <c r="O920" t="s">
        <v>21</v>
      </c>
      <c r="S920" s="1">
        <v>0.82152777777777775</v>
      </c>
      <c r="T920" s="1">
        <v>0.87569444444444444</v>
      </c>
      <c r="U920">
        <v>78</v>
      </c>
      <c r="V920" t="b">
        <v>1</v>
      </c>
      <c r="W920" t="s">
        <v>92</v>
      </c>
      <c r="X920" t="s">
        <v>31</v>
      </c>
      <c r="Y920" t="s">
        <v>51</v>
      </c>
      <c r="Z920" t="b">
        <v>0</v>
      </c>
      <c r="AA920" t="s">
        <v>456</v>
      </c>
      <c r="AB920" t="b">
        <v>0</v>
      </c>
      <c r="AD920" s="2"/>
    </row>
    <row r="921" spans="1:30" x14ac:dyDescent="0.25">
      <c r="A921">
        <v>920</v>
      </c>
      <c r="B921" t="s">
        <v>17</v>
      </c>
      <c r="C921" s="3">
        <v>30367</v>
      </c>
      <c r="D921" s="2">
        <f ca="1">DATEDIF(gym_membership[[#This Row],[birthday]],TODAY(),"y")</f>
        <v>43</v>
      </c>
      <c r="E921">
        <v>41</v>
      </c>
      <c r="F921" t="s">
        <v>22</v>
      </c>
      <c r="G921">
        <v>1</v>
      </c>
      <c r="H921" t="s">
        <v>26</v>
      </c>
      <c r="I921" t="s">
        <v>26</v>
      </c>
      <c r="N921" t="b">
        <v>0</v>
      </c>
      <c r="O921" t="s">
        <v>21</v>
      </c>
      <c r="S921" s="1">
        <v>0.43263888888888891</v>
      </c>
      <c r="T921" s="1">
        <v>0.47916666666666669</v>
      </c>
      <c r="U921">
        <v>67</v>
      </c>
      <c r="V921" t="b">
        <v>1</v>
      </c>
      <c r="W921" t="s">
        <v>31</v>
      </c>
      <c r="X921" t="s">
        <v>31</v>
      </c>
      <c r="Z921" t="b">
        <v>0</v>
      </c>
      <c r="AA921" t="s">
        <v>456</v>
      </c>
      <c r="AB921" t="b">
        <v>0</v>
      </c>
      <c r="AD921" s="2"/>
    </row>
    <row r="922" spans="1:30" x14ac:dyDescent="0.25">
      <c r="A922">
        <v>921</v>
      </c>
      <c r="B922" t="s">
        <v>17</v>
      </c>
      <c r="C922" s="3">
        <v>40578</v>
      </c>
      <c r="D922" s="2">
        <f ca="1">DATEDIF(gym_membership[[#This Row],[birthday]],TODAY(),"y")</f>
        <v>15</v>
      </c>
      <c r="E922">
        <v>13</v>
      </c>
      <c r="F922" t="s">
        <v>18</v>
      </c>
      <c r="G922">
        <v>1</v>
      </c>
      <c r="H922" t="s">
        <v>57</v>
      </c>
      <c r="I922" t="s">
        <v>57</v>
      </c>
      <c r="N922" t="b">
        <v>1</v>
      </c>
      <c r="O922" t="s">
        <v>358</v>
      </c>
      <c r="P922" t="s">
        <v>41</v>
      </c>
      <c r="Q922" t="s">
        <v>58</v>
      </c>
      <c r="S922" s="1">
        <v>0.52708333333333335</v>
      </c>
      <c r="T922" s="1">
        <v>0.55069444444444449</v>
      </c>
      <c r="U922">
        <v>34</v>
      </c>
      <c r="V922" t="b">
        <v>0</v>
      </c>
      <c r="W922" t="s">
        <v>21</v>
      </c>
      <c r="Z922" t="b">
        <v>0</v>
      </c>
      <c r="AA922" t="s">
        <v>456</v>
      </c>
      <c r="AB922" t="b">
        <v>0</v>
      </c>
      <c r="AD922" s="2"/>
    </row>
    <row r="923" spans="1:30" x14ac:dyDescent="0.25">
      <c r="A923">
        <v>922</v>
      </c>
      <c r="B923" t="s">
        <v>17</v>
      </c>
      <c r="C923" s="3">
        <v>32841</v>
      </c>
      <c r="D923" s="2">
        <f ca="1">DATEDIF(gym_membership[[#This Row],[birthday]],TODAY(),"y")</f>
        <v>36</v>
      </c>
      <c r="E923">
        <v>34</v>
      </c>
      <c r="F923" t="s">
        <v>22</v>
      </c>
      <c r="G923">
        <v>1</v>
      </c>
      <c r="H923" t="s">
        <v>77</v>
      </c>
      <c r="I923" t="s">
        <v>77</v>
      </c>
      <c r="N923" t="b">
        <v>1</v>
      </c>
      <c r="O923" t="s">
        <v>96</v>
      </c>
      <c r="P923" t="s">
        <v>96</v>
      </c>
      <c r="S923" s="1">
        <v>0.43611111111111112</v>
      </c>
      <c r="T923" s="1">
        <v>0.51388888888888884</v>
      </c>
      <c r="U923">
        <v>112</v>
      </c>
      <c r="V923" t="b">
        <v>1</v>
      </c>
      <c r="W923" t="s">
        <v>217</v>
      </c>
      <c r="X923" t="s">
        <v>76</v>
      </c>
      <c r="Y923" t="s">
        <v>59</v>
      </c>
      <c r="Z923" t="b">
        <v>1</v>
      </c>
      <c r="AA923" t="s">
        <v>24</v>
      </c>
      <c r="AB923" t="b">
        <v>0</v>
      </c>
      <c r="AD923" s="2"/>
    </row>
    <row r="924" spans="1:30" x14ac:dyDescent="0.25">
      <c r="A924">
        <v>923</v>
      </c>
      <c r="B924" t="s">
        <v>17</v>
      </c>
      <c r="C924" s="3">
        <v>29834</v>
      </c>
      <c r="D924" s="2">
        <f ca="1">DATEDIF(gym_membership[[#This Row],[birthday]],TODAY(),"y")</f>
        <v>44</v>
      </c>
      <c r="E924">
        <v>43</v>
      </c>
      <c r="F924" t="s">
        <v>22</v>
      </c>
      <c r="G924">
        <v>1</v>
      </c>
      <c r="H924" t="s">
        <v>34</v>
      </c>
      <c r="I924" t="s">
        <v>34</v>
      </c>
      <c r="N924" t="b">
        <v>0</v>
      </c>
      <c r="O924" t="s">
        <v>21</v>
      </c>
      <c r="S924" s="1">
        <v>0.62777777777777777</v>
      </c>
      <c r="T924" s="1">
        <v>0.71180555555555558</v>
      </c>
      <c r="U924">
        <v>121</v>
      </c>
      <c r="V924" t="b">
        <v>0</v>
      </c>
      <c r="W924" t="s">
        <v>21</v>
      </c>
      <c r="Z924" t="b">
        <v>1</v>
      </c>
      <c r="AA924" t="s">
        <v>43</v>
      </c>
      <c r="AB924" t="b">
        <v>0</v>
      </c>
      <c r="AD924" s="2"/>
    </row>
    <row r="925" spans="1:30" x14ac:dyDescent="0.25">
      <c r="A925">
        <v>924</v>
      </c>
      <c r="B925" t="s">
        <v>25</v>
      </c>
      <c r="C925" s="3">
        <v>31178</v>
      </c>
      <c r="D925" s="2">
        <f ca="1">DATEDIF(gym_membership[[#This Row],[birthday]],TODAY(),"y")</f>
        <v>41</v>
      </c>
      <c r="E925">
        <v>39</v>
      </c>
      <c r="F925" t="s">
        <v>18</v>
      </c>
      <c r="G925">
        <v>2</v>
      </c>
      <c r="H925" t="s">
        <v>289</v>
      </c>
      <c r="I925" t="s">
        <v>34</v>
      </c>
      <c r="J925" t="s">
        <v>95</v>
      </c>
      <c r="N925" t="b">
        <v>0</v>
      </c>
      <c r="O925" t="s">
        <v>21</v>
      </c>
      <c r="S925" s="1">
        <v>0.74791666666666667</v>
      </c>
      <c r="T925" s="1">
        <v>0.82291666666666663</v>
      </c>
      <c r="U925">
        <v>108</v>
      </c>
      <c r="V925" t="b">
        <v>1</v>
      </c>
      <c r="W925" t="s">
        <v>90</v>
      </c>
      <c r="X925" t="s">
        <v>39</v>
      </c>
      <c r="Y925" t="s">
        <v>76</v>
      </c>
      <c r="Z925" t="b">
        <v>1</v>
      </c>
      <c r="AA925" t="s">
        <v>43</v>
      </c>
      <c r="AB925" t="b">
        <v>1</v>
      </c>
      <c r="AD925" s="2"/>
    </row>
    <row r="926" spans="1:30" x14ac:dyDescent="0.25">
      <c r="A926">
        <v>925</v>
      </c>
      <c r="B926" t="s">
        <v>17</v>
      </c>
      <c r="C926" s="3">
        <v>40771</v>
      </c>
      <c r="D926" s="2">
        <f ca="1">DATEDIF(gym_membership[[#This Row],[birthday]],TODAY(),"y")</f>
        <v>15</v>
      </c>
      <c r="E926">
        <v>13</v>
      </c>
      <c r="F926" t="s">
        <v>18</v>
      </c>
      <c r="G926">
        <v>3</v>
      </c>
      <c r="H926" t="s">
        <v>35</v>
      </c>
      <c r="I926" t="s">
        <v>26</v>
      </c>
      <c r="J926" t="s">
        <v>95</v>
      </c>
      <c r="K926" t="s">
        <v>77</v>
      </c>
      <c r="N926" t="b">
        <v>1</v>
      </c>
      <c r="O926" t="s">
        <v>413</v>
      </c>
      <c r="P926" t="s">
        <v>41</v>
      </c>
      <c r="Q926" t="s">
        <v>100</v>
      </c>
      <c r="R926" t="s">
        <v>27</v>
      </c>
      <c r="S926" s="1">
        <v>0.57430555555555551</v>
      </c>
      <c r="T926" s="1">
        <v>0.62777777777777777</v>
      </c>
      <c r="U926">
        <v>77</v>
      </c>
      <c r="V926" t="b">
        <v>1</v>
      </c>
      <c r="W926" t="s">
        <v>125</v>
      </c>
      <c r="X926" t="s">
        <v>65</v>
      </c>
      <c r="Y926" t="s">
        <v>76</v>
      </c>
      <c r="Z926" t="b">
        <v>0</v>
      </c>
      <c r="AA926" t="s">
        <v>456</v>
      </c>
      <c r="AB926" t="b">
        <v>0</v>
      </c>
      <c r="AD926" s="2"/>
    </row>
    <row r="927" spans="1:30" x14ac:dyDescent="0.25">
      <c r="A927">
        <v>926</v>
      </c>
      <c r="B927" t="s">
        <v>25</v>
      </c>
      <c r="C927" s="3">
        <v>37204</v>
      </c>
      <c r="D927" s="2">
        <f ca="1">DATEDIF(gym_membership[[#This Row],[birthday]],TODAY(),"y")</f>
        <v>24</v>
      </c>
      <c r="E927">
        <v>22</v>
      </c>
      <c r="F927" t="s">
        <v>22</v>
      </c>
      <c r="G927">
        <v>5</v>
      </c>
      <c r="H927" t="s">
        <v>170</v>
      </c>
      <c r="I927" t="s">
        <v>44</v>
      </c>
      <c r="J927" t="s">
        <v>94</v>
      </c>
      <c r="K927" t="s">
        <v>95</v>
      </c>
      <c r="L927" t="s">
        <v>57</v>
      </c>
      <c r="M927" t="s">
        <v>77</v>
      </c>
      <c r="N927" t="b">
        <v>0</v>
      </c>
      <c r="O927" t="s">
        <v>21</v>
      </c>
      <c r="S927" s="1">
        <v>0.38611111111111113</v>
      </c>
      <c r="T927" s="1">
        <v>0.50555555555555554</v>
      </c>
      <c r="U927">
        <v>172</v>
      </c>
      <c r="V927" t="b">
        <v>0</v>
      </c>
      <c r="W927" t="s">
        <v>21</v>
      </c>
      <c r="Z927" t="b">
        <v>1</v>
      </c>
      <c r="AA927" t="s">
        <v>24</v>
      </c>
      <c r="AB927" t="b">
        <v>0</v>
      </c>
      <c r="AD927" s="2"/>
    </row>
    <row r="928" spans="1:30" x14ac:dyDescent="0.25">
      <c r="A928">
        <v>927</v>
      </c>
      <c r="B928" t="s">
        <v>25</v>
      </c>
      <c r="C928" s="3">
        <v>36963</v>
      </c>
      <c r="D928" s="2">
        <f ca="1">DATEDIF(gym_membership[[#This Row],[birthday]],TODAY(),"y")</f>
        <v>25</v>
      </c>
      <c r="E928">
        <v>23</v>
      </c>
      <c r="F928" t="s">
        <v>22</v>
      </c>
      <c r="G928">
        <v>3</v>
      </c>
      <c r="H928" t="s">
        <v>109</v>
      </c>
      <c r="I928" t="s">
        <v>34</v>
      </c>
      <c r="J928" t="s">
        <v>94</v>
      </c>
      <c r="K928" t="s">
        <v>95</v>
      </c>
      <c r="N928" t="b">
        <v>1</v>
      </c>
      <c r="O928" t="s">
        <v>414</v>
      </c>
      <c r="P928" t="s">
        <v>100</v>
      </c>
      <c r="Q928" t="s">
        <v>58</v>
      </c>
      <c r="R928" t="s">
        <v>72</v>
      </c>
      <c r="S928" s="1">
        <v>0.41875000000000001</v>
      </c>
      <c r="T928" s="1">
        <v>0.51527777777777772</v>
      </c>
      <c r="U928">
        <v>139</v>
      </c>
      <c r="V928" t="b">
        <v>1</v>
      </c>
      <c r="W928" t="s">
        <v>130</v>
      </c>
      <c r="X928" t="s">
        <v>76</v>
      </c>
      <c r="Y928" t="s">
        <v>39</v>
      </c>
      <c r="Z928" t="b">
        <v>1</v>
      </c>
      <c r="AA928" t="s">
        <v>45</v>
      </c>
      <c r="AB928" t="b">
        <v>0</v>
      </c>
      <c r="AD928" s="2"/>
    </row>
    <row r="929" spans="1:30" x14ac:dyDescent="0.25">
      <c r="A929">
        <v>928</v>
      </c>
      <c r="B929" t="s">
        <v>17</v>
      </c>
      <c r="C929" s="3">
        <v>32037</v>
      </c>
      <c r="D929" s="2">
        <f ca="1">DATEDIF(gym_membership[[#This Row],[birthday]],TODAY(),"y")</f>
        <v>38</v>
      </c>
      <c r="E929">
        <v>37</v>
      </c>
      <c r="F929" t="s">
        <v>18</v>
      </c>
      <c r="G929">
        <v>3</v>
      </c>
      <c r="H929" t="s">
        <v>101</v>
      </c>
      <c r="I929" t="s">
        <v>94</v>
      </c>
      <c r="J929" t="s">
        <v>57</v>
      </c>
      <c r="K929" t="s">
        <v>77</v>
      </c>
      <c r="N929" t="b">
        <v>0</v>
      </c>
      <c r="O929" t="s">
        <v>21</v>
      </c>
      <c r="S929" s="1">
        <v>0.73124999999999996</v>
      </c>
      <c r="T929" s="1">
        <v>0.83125000000000004</v>
      </c>
      <c r="U929">
        <v>144</v>
      </c>
      <c r="V929" t="b">
        <v>1</v>
      </c>
      <c r="W929" t="s">
        <v>76</v>
      </c>
      <c r="X929" t="s">
        <v>76</v>
      </c>
      <c r="Z929" t="b">
        <v>0</v>
      </c>
      <c r="AA929" t="s">
        <v>456</v>
      </c>
      <c r="AB929" t="b">
        <v>0</v>
      </c>
      <c r="AD929" s="2"/>
    </row>
    <row r="930" spans="1:30" x14ac:dyDescent="0.25">
      <c r="A930">
        <v>929</v>
      </c>
      <c r="B930" t="s">
        <v>25</v>
      </c>
      <c r="C930" s="3">
        <v>34645</v>
      </c>
      <c r="D930" s="2">
        <f ca="1">DATEDIF(gym_membership[[#This Row],[birthday]],TODAY(),"y")</f>
        <v>31</v>
      </c>
      <c r="E930">
        <v>29</v>
      </c>
      <c r="F930" t="s">
        <v>18</v>
      </c>
      <c r="G930">
        <v>5</v>
      </c>
      <c r="H930" t="s">
        <v>168</v>
      </c>
      <c r="I930" t="s">
        <v>44</v>
      </c>
      <c r="J930" t="s">
        <v>34</v>
      </c>
      <c r="K930" t="s">
        <v>26</v>
      </c>
      <c r="L930" t="s">
        <v>95</v>
      </c>
      <c r="M930" t="s">
        <v>77</v>
      </c>
      <c r="N930" t="b">
        <v>1</v>
      </c>
      <c r="O930" t="s">
        <v>371</v>
      </c>
      <c r="P930" t="s">
        <v>58</v>
      </c>
      <c r="Q930" t="s">
        <v>41</v>
      </c>
      <c r="R930" t="s">
        <v>103</v>
      </c>
      <c r="S930" s="1">
        <v>0.40138888888888891</v>
      </c>
      <c r="T930" s="1">
        <v>0.44374999999999998</v>
      </c>
      <c r="U930">
        <v>61</v>
      </c>
      <c r="V930" t="b">
        <v>0</v>
      </c>
      <c r="W930" t="s">
        <v>21</v>
      </c>
      <c r="Z930" t="b">
        <v>0</v>
      </c>
      <c r="AA930" t="s">
        <v>456</v>
      </c>
      <c r="AB930" t="b">
        <v>1</v>
      </c>
      <c r="AD930" s="2"/>
    </row>
    <row r="931" spans="1:30" x14ac:dyDescent="0.25">
      <c r="A931">
        <v>930</v>
      </c>
      <c r="B931" t="s">
        <v>17</v>
      </c>
      <c r="C931" s="3">
        <v>37118</v>
      </c>
      <c r="D931" s="2">
        <f ca="1">DATEDIF(gym_membership[[#This Row],[birthday]],TODAY(),"y")</f>
        <v>25</v>
      </c>
      <c r="E931">
        <v>23</v>
      </c>
      <c r="F931" t="s">
        <v>18</v>
      </c>
      <c r="G931">
        <v>5</v>
      </c>
      <c r="H931" t="s">
        <v>168</v>
      </c>
      <c r="I931" t="s">
        <v>44</v>
      </c>
      <c r="J931" t="s">
        <v>34</v>
      </c>
      <c r="K931" t="s">
        <v>26</v>
      </c>
      <c r="L931" t="s">
        <v>95</v>
      </c>
      <c r="M931" t="s">
        <v>77</v>
      </c>
      <c r="N931" t="b">
        <v>0</v>
      </c>
      <c r="O931" t="s">
        <v>21</v>
      </c>
      <c r="S931" s="1">
        <v>0.58125000000000004</v>
      </c>
      <c r="T931" s="1">
        <v>0.68472222222222223</v>
      </c>
      <c r="U931">
        <v>149</v>
      </c>
      <c r="V931" t="b">
        <v>1</v>
      </c>
      <c r="W931" t="s">
        <v>65</v>
      </c>
      <c r="X931" t="s">
        <v>65</v>
      </c>
      <c r="Z931" t="b">
        <v>0</v>
      </c>
      <c r="AA931" t="s">
        <v>456</v>
      </c>
      <c r="AB931" t="b">
        <v>0</v>
      </c>
      <c r="AD931" s="2"/>
    </row>
    <row r="932" spans="1:30" x14ac:dyDescent="0.25">
      <c r="A932">
        <v>931</v>
      </c>
      <c r="B932" t="s">
        <v>17</v>
      </c>
      <c r="C932" s="3">
        <v>37154</v>
      </c>
      <c r="D932" s="2">
        <f ca="1">DATEDIF(gym_membership[[#This Row],[birthday]],TODAY(),"y")</f>
        <v>24</v>
      </c>
      <c r="E932">
        <v>23</v>
      </c>
      <c r="F932" t="s">
        <v>22</v>
      </c>
      <c r="G932">
        <v>5</v>
      </c>
      <c r="H932" t="s">
        <v>211</v>
      </c>
      <c r="I932" t="s">
        <v>44</v>
      </c>
      <c r="J932" t="s">
        <v>34</v>
      </c>
      <c r="K932" t="s">
        <v>94</v>
      </c>
      <c r="L932" t="s">
        <v>57</v>
      </c>
      <c r="M932" t="s">
        <v>77</v>
      </c>
      <c r="N932" t="b">
        <v>0</v>
      </c>
      <c r="O932" t="s">
        <v>21</v>
      </c>
      <c r="S932" s="1">
        <v>0.68958333333333333</v>
      </c>
      <c r="T932" s="1">
        <v>0.75208333333333333</v>
      </c>
      <c r="U932">
        <v>90</v>
      </c>
      <c r="V932" t="b">
        <v>0</v>
      </c>
      <c r="W932" t="s">
        <v>21</v>
      </c>
      <c r="Z932" t="b">
        <v>0</v>
      </c>
      <c r="AA932" t="s">
        <v>456</v>
      </c>
      <c r="AB932" t="b">
        <v>0</v>
      </c>
      <c r="AD932" s="2"/>
    </row>
    <row r="933" spans="1:30" x14ac:dyDescent="0.25">
      <c r="A933">
        <v>932</v>
      </c>
      <c r="B933" t="s">
        <v>25</v>
      </c>
      <c r="C933" s="3">
        <v>35517</v>
      </c>
      <c r="D933" s="2">
        <f ca="1">DATEDIF(gym_membership[[#This Row],[birthday]],TODAY(),"y")</f>
        <v>29</v>
      </c>
      <c r="E933">
        <v>27</v>
      </c>
      <c r="F933" t="s">
        <v>18</v>
      </c>
      <c r="G933">
        <v>3</v>
      </c>
      <c r="H933" t="s">
        <v>193</v>
      </c>
      <c r="I933" t="s">
        <v>44</v>
      </c>
      <c r="J933" t="s">
        <v>26</v>
      </c>
      <c r="K933" t="s">
        <v>95</v>
      </c>
      <c r="N933" t="b">
        <v>1</v>
      </c>
      <c r="O933" t="s">
        <v>103</v>
      </c>
      <c r="P933" t="s">
        <v>103</v>
      </c>
      <c r="S933" s="1">
        <v>0.45</v>
      </c>
      <c r="T933" s="1">
        <v>0.55208333333333337</v>
      </c>
      <c r="U933">
        <v>147</v>
      </c>
      <c r="V933" t="b">
        <v>1</v>
      </c>
      <c r="W933" t="s">
        <v>257</v>
      </c>
      <c r="X933" t="s">
        <v>39</v>
      </c>
      <c r="Y933" t="s">
        <v>65</v>
      </c>
      <c r="Z933" t="b">
        <v>0</v>
      </c>
      <c r="AA933" t="s">
        <v>456</v>
      </c>
      <c r="AB933" t="b">
        <v>0</v>
      </c>
      <c r="AD933" s="2"/>
    </row>
    <row r="934" spans="1:30" x14ac:dyDescent="0.25">
      <c r="A934">
        <v>933</v>
      </c>
      <c r="B934" t="s">
        <v>17</v>
      </c>
      <c r="C934" s="3">
        <v>40002</v>
      </c>
      <c r="D934" s="2">
        <f ca="1">DATEDIF(gym_membership[[#This Row],[birthday]],TODAY(),"y")</f>
        <v>17</v>
      </c>
      <c r="E934">
        <v>15</v>
      </c>
      <c r="F934" t="s">
        <v>18</v>
      </c>
      <c r="G934">
        <v>1</v>
      </c>
      <c r="H934" t="s">
        <v>44</v>
      </c>
      <c r="I934" t="s">
        <v>44</v>
      </c>
      <c r="N934" t="b">
        <v>1</v>
      </c>
      <c r="O934" t="s">
        <v>41</v>
      </c>
      <c r="P934" t="s">
        <v>41</v>
      </c>
      <c r="S934" s="1">
        <v>0.79583333333333328</v>
      </c>
      <c r="T934" s="1">
        <v>0.88680555555555551</v>
      </c>
      <c r="U934">
        <v>131</v>
      </c>
      <c r="V934" t="b">
        <v>1</v>
      </c>
      <c r="W934" t="s">
        <v>203</v>
      </c>
      <c r="X934" t="s">
        <v>51</v>
      </c>
      <c r="Y934" t="s">
        <v>39</v>
      </c>
      <c r="Z934" t="b">
        <v>1</v>
      </c>
      <c r="AA934" t="s">
        <v>29</v>
      </c>
      <c r="AB934" t="b">
        <v>0</v>
      </c>
      <c r="AD934" s="2"/>
    </row>
    <row r="935" spans="1:30" x14ac:dyDescent="0.25">
      <c r="A935">
        <v>934</v>
      </c>
      <c r="B935" t="s">
        <v>17</v>
      </c>
      <c r="C935" s="3">
        <v>30372</v>
      </c>
      <c r="D935" s="2">
        <f ca="1">DATEDIF(gym_membership[[#This Row],[birthday]],TODAY(),"y")</f>
        <v>43</v>
      </c>
      <c r="E935">
        <v>41</v>
      </c>
      <c r="F935" t="s">
        <v>18</v>
      </c>
      <c r="G935">
        <v>5</v>
      </c>
      <c r="H935" t="s">
        <v>135</v>
      </c>
      <c r="I935" t="s">
        <v>44</v>
      </c>
      <c r="J935" t="s">
        <v>26</v>
      </c>
      <c r="K935" t="s">
        <v>95</v>
      </c>
      <c r="L935" t="s">
        <v>57</v>
      </c>
      <c r="M935" t="s">
        <v>77</v>
      </c>
      <c r="N935" t="b">
        <v>0</v>
      </c>
      <c r="O935" t="s">
        <v>21</v>
      </c>
      <c r="S935" s="1">
        <v>0.57847222222222228</v>
      </c>
      <c r="T935" s="1">
        <v>0.67013888888888884</v>
      </c>
      <c r="U935">
        <v>132</v>
      </c>
      <c r="V935" t="b">
        <v>0</v>
      </c>
      <c r="W935" t="s">
        <v>21</v>
      </c>
      <c r="Z935" t="b">
        <v>0</v>
      </c>
      <c r="AA935" t="s">
        <v>456</v>
      </c>
      <c r="AB935" t="b">
        <v>1</v>
      </c>
      <c r="AD935" s="2"/>
    </row>
    <row r="936" spans="1:30" x14ac:dyDescent="0.25">
      <c r="A936">
        <v>935</v>
      </c>
      <c r="B936" t="s">
        <v>17</v>
      </c>
      <c r="C936" s="3">
        <v>39962</v>
      </c>
      <c r="D936" s="2">
        <f ca="1">DATEDIF(gym_membership[[#This Row],[birthday]],TODAY(),"y")</f>
        <v>17</v>
      </c>
      <c r="E936">
        <v>15</v>
      </c>
      <c r="F936" t="s">
        <v>22</v>
      </c>
      <c r="G936">
        <v>2</v>
      </c>
      <c r="H936" t="s">
        <v>48</v>
      </c>
      <c r="I936" t="s">
        <v>94</v>
      </c>
      <c r="J936" t="s">
        <v>77</v>
      </c>
      <c r="N936" t="b">
        <v>0</v>
      </c>
      <c r="O936" t="s">
        <v>21</v>
      </c>
      <c r="S936" s="1">
        <v>0.52430555555555558</v>
      </c>
      <c r="T936" s="1">
        <v>0.58750000000000002</v>
      </c>
      <c r="U936">
        <v>91</v>
      </c>
      <c r="V936" t="b">
        <v>0</v>
      </c>
      <c r="W936" t="s">
        <v>21</v>
      </c>
      <c r="Z936" t="b">
        <v>0</v>
      </c>
      <c r="AA936" t="s">
        <v>456</v>
      </c>
      <c r="AB936" t="b">
        <v>0</v>
      </c>
      <c r="AD936" s="2"/>
    </row>
    <row r="937" spans="1:30" x14ac:dyDescent="0.25">
      <c r="A937">
        <v>936</v>
      </c>
      <c r="B937" t="s">
        <v>25</v>
      </c>
      <c r="C937" s="3">
        <v>40518</v>
      </c>
      <c r="D937" s="2">
        <f ca="1">DATEDIF(gym_membership[[#This Row],[birthday]],TODAY(),"y")</f>
        <v>15</v>
      </c>
      <c r="E937">
        <v>13</v>
      </c>
      <c r="F937" t="s">
        <v>18</v>
      </c>
      <c r="G937">
        <v>3</v>
      </c>
      <c r="H937" t="s">
        <v>185</v>
      </c>
      <c r="I937" t="s">
        <v>34</v>
      </c>
      <c r="J937" t="s">
        <v>95</v>
      </c>
      <c r="K937" t="s">
        <v>77</v>
      </c>
      <c r="N937" t="b">
        <v>1</v>
      </c>
      <c r="O937" t="s">
        <v>415</v>
      </c>
      <c r="P937" t="s">
        <v>41</v>
      </c>
      <c r="Q937" t="s">
        <v>91</v>
      </c>
      <c r="R937" t="s">
        <v>58</v>
      </c>
      <c r="S937" s="1">
        <v>0.64652777777777781</v>
      </c>
      <c r="T937" s="1">
        <v>0.67152777777777772</v>
      </c>
      <c r="U937">
        <v>36</v>
      </c>
      <c r="V937" t="b">
        <v>1</v>
      </c>
      <c r="W937" t="s">
        <v>59</v>
      </c>
      <c r="X937" t="s">
        <v>59</v>
      </c>
      <c r="Z937" t="b">
        <v>0</v>
      </c>
      <c r="AA937" t="s">
        <v>456</v>
      </c>
      <c r="AB937" t="b">
        <v>1</v>
      </c>
      <c r="AD937" s="2"/>
    </row>
    <row r="938" spans="1:30" x14ac:dyDescent="0.25">
      <c r="A938">
        <v>937</v>
      </c>
      <c r="B938" t="s">
        <v>25</v>
      </c>
      <c r="C938" s="3">
        <v>27611</v>
      </c>
      <c r="D938" s="2">
        <f ca="1">DATEDIF(gym_membership[[#This Row],[birthday]],TODAY(),"y")</f>
        <v>51</v>
      </c>
      <c r="E938">
        <v>49</v>
      </c>
      <c r="F938" t="s">
        <v>18</v>
      </c>
      <c r="G938">
        <v>3</v>
      </c>
      <c r="H938" t="s">
        <v>84</v>
      </c>
      <c r="I938" t="s">
        <v>26</v>
      </c>
      <c r="J938" t="s">
        <v>94</v>
      </c>
      <c r="K938" t="s">
        <v>57</v>
      </c>
      <c r="N938" t="b">
        <v>1</v>
      </c>
      <c r="O938" t="s">
        <v>72</v>
      </c>
      <c r="P938" t="s">
        <v>72</v>
      </c>
      <c r="S938" s="1">
        <v>0.4548611111111111</v>
      </c>
      <c r="T938" s="1">
        <v>0.51249999999999996</v>
      </c>
      <c r="U938">
        <v>83</v>
      </c>
      <c r="V938" t="b">
        <v>1</v>
      </c>
      <c r="W938" t="s">
        <v>59</v>
      </c>
      <c r="X938" t="s">
        <v>59</v>
      </c>
      <c r="Z938" t="b">
        <v>0</v>
      </c>
      <c r="AA938" t="s">
        <v>456</v>
      </c>
      <c r="AB938" t="b">
        <v>1</v>
      </c>
      <c r="AD938" s="2"/>
    </row>
    <row r="939" spans="1:30" x14ac:dyDescent="0.25">
      <c r="A939">
        <v>938</v>
      </c>
      <c r="B939" t="s">
        <v>25</v>
      </c>
      <c r="C939" s="3">
        <v>33888</v>
      </c>
      <c r="D939" s="2">
        <f ca="1">DATEDIF(gym_membership[[#This Row],[birthday]],TODAY(),"y")</f>
        <v>33</v>
      </c>
      <c r="E939">
        <v>32</v>
      </c>
      <c r="F939" t="s">
        <v>22</v>
      </c>
      <c r="G939">
        <v>3</v>
      </c>
      <c r="H939" t="s">
        <v>109</v>
      </c>
      <c r="I939" t="s">
        <v>34</v>
      </c>
      <c r="J939" t="s">
        <v>94</v>
      </c>
      <c r="K939" t="s">
        <v>95</v>
      </c>
      <c r="N939" t="b">
        <v>1</v>
      </c>
      <c r="O939" t="s">
        <v>416</v>
      </c>
      <c r="P939" t="s">
        <v>103</v>
      </c>
      <c r="Q939" t="s">
        <v>67</v>
      </c>
      <c r="R939" t="s">
        <v>91</v>
      </c>
      <c r="S939" s="1">
        <v>0.41458333333333336</v>
      </c>
      <c r="T939" s="1">
        <v>0.50624999999999998</v>
      </c>
      <c r="U939">
        <v>132</v>
      </c>
      <c r="V939" t="b">
        <v>1</v>
      </c>
      <c r="W939" t="s">
        <v>51</v>
      </c>
      <c r="X939" t="s">
        <v>51</v>
      </c>
      <c r="Z939" t="b">
        <v>1</v>
      </c>
      <c r="AA939" t="s">
        <v>29</v>
      </c>
      <c r="AB939" t="b">
        <v>1</v>
      </c>
      <c r="AD939" s="2"/>
    </row>
    <row r="940" spans="1:30" x14ac:dyDescent="0.25">
      <c r="A940">
        <v>939</v>
      </c>
      <c r="B940" t="s">
        <v>17</v>
      </c>
      <c r="C940" s="3">
        <v>29867</v>
      </c>
      <c r="D940" s="2">
        <f ca="1">DATEDIF(gym_membership[[#This Row],[birthday]],TODAY(),"y")</f>
        <v>44</v>
      </c>
      <c r="E940">
        <v>43</v>
      </c>
      <c r="F940" t="s">
        <v>18</v>
      </c>
      <c r="G940">
        <v>5</v>
      </c>
      <c r="H940" t="s">
        <v>301</v>
      </c>
      <c r="I940" t="s">
        <v>34</v>
      </c>
      <c r="J940" t="s">
        <v>26</v>
      </c>
      <c r="K940" t="s">
        <v>94</v>
      </c>
      <c r="L940" t="s">
        <v>57</v>
      </c>
      <c r="M940" t="s">
        <v>77</v>
      </c>
      <c r="N940" t="b">
        <v>0</v>
      </c>
      <c r="O940" t="s">
        <v>21</v>
      </c>
      <c r="S940" s="1">
        <v>0.53472222222222221</v>
      </c>
      <c r="T940" s="1">
        <v>0.63888888888888884</v>
      </c>
      <c r="U940">
        <v>150</v>
      </c>
      <c r="V940" t="b">
        <v>1</v>
      </c>
      <c r="W940" t="s">
        <v>76</v>
      </c>
      <c r="X940" t="s">
        <v>76</v>
      </c>
      <c r="Z940" t="b">
        <v>1</v>
      </c>
      <c r="AA940" t="s">
        <v>43</v>
      </c>
      <c r="AB940" t="b">
        <v>1</v>
      </c>
      <c r="AD940" s="2"/>
    </row>
    <row r="941" spans="1:30" x14ac:dyDescent="0.25">
      <c r="A941">
        <v>940</v>
      </c>
      <c r="B941" t="s">
        <v>17</v>
      </c>
      <c r="C941" s="3">
        <v>33410</v>
      </c>
      <c r="D941" s="2">
        <f ca="1">DATEDIF(gym_membership[[#This Row],[birthday]],TODAY(),"y")</f>
        <v>35</v>
      </c>
      <c r="E941">
        <v>33</v>
      </c>
      <c r="F941" t="s">
        <v>18</v>
      </c>
      <c r="G941">
        <v>2</v>
      </c>
      <c r="H941" t="s">
        <v>37</v>
      </c>
      <c r="I941" t="s">
        <v>34</v>
      </c>
      <c r="J941" t="s">
        <v>77</v>
      </c>
      <c r="N941" t="b">
        <v>1</v>
      </c>
      <c r="O941" t="s">
        <v>96</v>
      </c>
      <c r="P941" t="s">
        <v>96</v>
      </c>
      <c r="S941" s="1">
        <v>0.85069444444444442</v>
      </c>
      <c r="T941" s="1">
        <v>0.96944444444444444</v>
      </c>
      <c r="U941">
        <v>171</v>
      </c>
      <c r="V941" t="b">
        <v>1</v>
      </c>
      <c r="W941" t="s">
        <v>39</v>
      </c>
      <c r="X941" t="s">
        <v>39</v>
      </c>
      <c r="Z941" t="b">
        <v>0</v>
      </c>
      <c r="AA941" t="s">
        <v>456</v>
      </c>
      <c r="AB941" t="b">
        <v>0</v>
      </c>
      <c r="AD941" s="2"/>
    </row>
    <row r="942" spans="1:30" x14ac:dyDescent="0.25">
      <c r="A942">
        <v>941</v>
      </c>
      <c r="B942" t="s">
        <v>25</v>
      </c>
      <c r="C942" s="3">
        <v>28845</v>
      </c>
      <c r="D942" s="2">
        <f ca="1">DATEDIF(gym_membership[[#This Row],[birthday]],TODAY(),"y")</f>
        <v>47</v>
      </c>
      <c r="E942">
        <v>45</v>
      </c>
      <c r="F942" t="s">
        <v>18</v>
      </c>
      <c r="G942">
        <v>3</v>
      </c>
      <c r="H942" t="s">
        <v>55</v>
      </c>
      <c r="I942" t="s">
        <v>44</v>
      </c>
      <c r="J942" t="s">
        <v>26</v>
      </c>
      <c r="K942" t="s">
        <v>94</v>
      </c>
      <c r="N942" t="b">
        <v>0</v>
      </c>
      <c r="O942" t="s">
        <v>21</v>
      </c>
      <c r="S942" s="1">
        <v>0.43125000000000002</v>
      </c>
      <c r="T942" s="1">
        <v>0.52638888888888891</v>
      </c>
      <c r="U942">
        <v>137</v>
      </c>
      <c r="V942" t="b">
        <v>0</v>
      </c>
      <c r="W942" t="s">
        <v>21</v>
      </c>
      <c r="Z942" t="b">
        <v>1</v>
      </c>
      <c r="AA942" t="s">
        <v>45</v>
      </c>
      <c r="AB942" t="b">
        <v>1</v>
      </c>
      <c r="AD942" s="2"/>
    </row>
    <row r="943" spans="1:30" x14ac:dyDescent="0.25">
      <c r="A943">
        <v>942</v>
      </c>
      <c r="B943" t="s">
        <v>25</v>
      </c>
      <c r="C943" s="3">
        <v>29653</v>
      </c>
      <c r="D943" s="2">
        <f ca="1">DATEDIF(gym_membership[[#This Row],[birthday]],TODAY(),"y")</f>
        <v>45</v>
      </c>
      <c r="E943">
        <v>43</v>
      </c>
      <c r="F943" t="s">
        <v>22</v>
      </c>
      <c r="G943">
        <v>3</v>
      </c>
      <c r="H943" t="s">
        <v>299</v>
      </c>
      <c r="I943" t="s">
        <v>95</v>
      </c>
      <c r="J943" t="s">
        <v>57</v>
      </c>
      <c r="K943" t="s">
        <v>77</v>
      </c>
      <c r="N943" t="b">
        <v>0</v>
      </c>
      <c r="O943" t="s">
        <v>21</v>
      </c>
      <c r="S943" s="1">
        <v>0.44930555555555557</v>
      </c>
      <c r="T943" s="1">
        <v>0.55208333333333337</v>
      </c>
      <c r="U943">
        <v>148</v>
      </c>
      <c r="V943" t="b">
        <v>0</v>
      </c>
      <c r="W943" t="s">
        <v>21</v>
      </c>
      <c r="Z943" t="b">
        <v>1</v>
      </c>
      <c r="AA943" t="s">
        <v>29</v>
      </c>
      <c r="AB943" t="b">
        <v>0</v>
      </c>
      <c r="AD943" s="2"/>
    </row>
    <row r="944" spans="1:30" x14ac:dyDescent="0.25">
      <c r="A944">
        <v>943</v>
      </c>
      <c r="B944" t="s">
        <v>25</v>
      </c>
      <c r="C944" s="3">
        <v>30734</v>
      </c>
      <c r="D944" s="2">
        <f ca="1">DATEDIF(gym_membership[[#This Row],[birthday]],TODAY(),"y")</f>
        <v>42</v>
      </c>
      <c r="E944">
        <v>40</v>
      </c>
      <c r="F944" t="s">
        <v>22</v>
      </c>
      <c r="G944">
        <v>3</v>
      </c>
      <c r="H944" t="s">
        <v>81</v>
      </c>
      <c r="I944" t="s">
        <v>94</v>
      </c>
      <c r="J944" t="s">
        <v>95</v>
      </c>
      <c r="K944" t="s">
        <v>77</v>
      </c>
      <c r="N944" t="b">
        <v>0</v>
      </c>
      <c r="O944" t="s">
        <v>21</v>
      </c>
      <c r="S944" s="1">
        <v>0.49861111111111112</v>
      </c>
      <c r="T944" s="1">
        <v>0.60486111111111107</v>
      </c>
      <c r="U944">
        <v>153</v>
      </c>
      <c r="V944" t="b">
        <v>1</v>
      </c>
      <c r="W944" t="s">
        <v>39</v>
      </c>
      <c r="X944" t="s">
        <v>39</v>
      </c>
      <c r="Z944" t="b">
        <v>1</v>
      </c>
      <c r="AA944" t="s">
        <v>29</v>
      </c>
      <c r="AB944" t="b">
        <v>0</v>
      </c>
      <c r="AD944" s="2"/>
    </row>
    <row r="945" spans="1:30" x14ac:dyDescent="0.25">
      <c r="A945">
        <v>944</v>
      </c>
      <c r="B945" t="s">
        <v>17</v>
      </c>
      <c r="C945" s="3">
        <v>34241</v>
      </c>
      <c r="D945" s="2">
        <f ca="1">DATEDIF(gym_membership[[#This Row],[birthday]],TODAY(),"y")</f>
        <v>32</v>
      </c>
      <c r="E945">
        <v>31</v>
      </c>
      <c r="F945" t="s">
        <v>22</v>
      </c>
      <c r="G945">
        <v>5</v>
      </c>
      <c r="H945" t="s">
        <v>151</v>
      </c>
      <c r="I945" t="s">
        <v>44</v>
      </c>
      <c r="J945" t="s">
        <v>26</v>
      </c>
      <c r="K945" t="s">
        <v>94</v>
      </c>
      <c r="L945" t="s">
        <v>95</v>
      </c>
      <c r="M945" t="s">
        <v>77</v>
      </c>
      <c r="N945" t="b">
        <v>0</v>
      </c>
      <c r="O945" t="s">
        <v>21</v>
      </c>
      <c r="S945" s="1">
        <v>0.40347222222222223</v>
      </c>
      <c r="T945" s="1">
        <v>0.50347222222222221</v>
      </c>
      <c r="U945">
        <v>144</v>
      </c>
      <c r="V945" t="b">
        <v>0</v>
      </c>
      <c r="W945" t="s">
        <v>21</v>
      </c>
      <c r="Z945" t="b">
        <v>1</v>
      </c>
      <c r="AA945" t="s">
        <v>24</v>
      </c>
      <c r="AB945" t="b">
        <v>0</v>
      </c>
      <c r="AD945" s="2"/>
    </row>
    <row r="946" spans="1:30" x14ac:dyDescent="0.25">
      <c r="A946">
        <v>945</v>
      </c>
      <c r="B946" t="s">
        <v>17</v>
      </c>
      <c r="C946" s="3">
        <v>27727</v>
      </c>
      <c r="D946" s="2">
        <f ca="1">DATEDIF(gym_membership[[#This Row],[birthday]],TODAY(),"y")</f>
        <v>50</v>
      </c>
      <c r="E946">
        <v>48</v>
      </c>
      <c r="F946" t="s">
        <v>22</v>
      </c>
      <c r="G946">
        <v>2</v>
      </c>
      <c r="H946" t="s">
        <v>32</v>
      </c>
      <c r="I946" t="s">
        <v>95</v>
      </c>
      <c r="J946" t="s">
        <v>77</v>
      </c>
      <c r="N946" t="b">
        <v>0</v>
      </c>
      <c r="O946" t="s">
        <v>21</v>
      </c>
      <c r="S946" s="1">
        <v>0.71805555555555556</v>
      </c>
      <c r="T946" s="1">
        <v>0.83680555555555558</v>
      </c>
      <c r="U946">
        <v>171</v>
      </c>
      <c r="V946" t="b">
        <v>0</v>
      </c>
      <c r="W946" t="s">
        <v>21</v>
      </c>
      <c r="Z946" t="b">
        <v>1</v>
      </c>
      <c r="AA946" t="s">
        <v>43</v>
      </c>
      <c r="AB946" t="b">
        <v>1</v>
      </c>
      <c r="AD946" s="2"/>
    </row>
    <row r="947" spans="1:30" x14ac:dyDescent="0.25">
      <c r="A947">
        <v>946</v>
      </c>
      <c r="B947" t="s">
        <v>25</v>
      </c>
      <c r="C947" s="3">
        <v>37666</v>
      </c>
      <c r="D947" s="2">
        <f ca="1">DATEDIF(gym_membership[[#This Row],[birthday]],TODAY(),"y")</f>
        <v>23</v>
      </c>
      <c r="E947">
        <v>21</v>
      </c>
      <c r="F947" t="s">
        <v>18</v>
      </c>
      <c r="G947">
        <v>3</v>
      </c>
      <c r="H947" t="s">
        <v>23</v>
      </c>
      <c r="I947" t="s">
        <v>34</v>
      </c>
      <c r="J947" t="s">
        <v>26</v>
      </c>
      <c r="K947" t="s">
        <v>77</v>
      </c>
      <c r="N947" t="b">
        <v>0</v>
      </c>
      <c r="O947" t="s">
        <v>21</v>
      </c>
      <c r="S947" s="1">
        <v>0.5756944444444444</v>
      </c>
      <c r="T947" s="1">
        <v>0.62152777777777779</v>
      </c>
      <c r="U947">
        <v>66</v>
      </c>
      <c r="V947" t="b">
        <v>0</v>
      </c>
      <c r="W947" t="s">
        <v>21</v>
      </c>
      <c r="Z947" t="b">
        <v>1</v>
      </c>
      <c r="AA947" t="s">
        <v>45</v>
      </c>
      <c r="AB947" t="b">
        <v>1</v>
      </c>
      <c r="AD947" s="2"/>
    </row>
    <row r="948" spans="1:30" x14ac:dyDescent="0.25">
      <c r="A948">
        <v>947</v>
      </c>
      <c r="B948" t="s">
        <v>17</v>
      </c>
      <c r="C948" s="3">
        <v>38908</v>
      </c>
      <c r="D948" s="2">
        <f ca="1">DATEDIF(gym_membership[[#This Row],[birthday]],TODAY(),"y")</f>
        <v>20</v>
      </c>
      <c r="E948">
        <v>18</v>
      </c>
      <c r="F948" t="s">
        <v>22</v>
      </c>
      <c r="G948">
        <v>4</v>
      </c>
      <c r="H948" t="s">
        <v>113</v>
      </c>
      <c r="I948" t="s">
        <v>44</v>
      </c>
      <c r="J948" t="s">
        <v>34</v>
      </c>
      <c r="K948" t="s">
        <v>26</v>
      </c>
      <c r="L948" t="s">
        <v>95</v>
      </c>
      <c r="N948" t="b">
        <v>0</v>
      </c>
      <c r="O948" t="s">
        <v>21</v>
      </c>
      <c r="S948" s="1">
        <v>0.40416666666666667</v>
      </c>
      <c r="T948" s="1">
        <v>0.44861111111111113</v>
      </c>
      <c r="U948">
        <v>64</v>
      </c>
      <c r="V948" t="b">
        <v>0</v>
      </c>
      <c r="W948" t="s">
        <v>21</v>
      </c>
      <c r="Z948" t="b">
        <v>1</v>
      </c>
      <c r="AA948" t="s">
        <v>29</v>
      </c>
      <c r="AB948" t="b">
        <v>1</v>
      </c>
      <c r="AD948" s="2"/>
    </row>
    <row r="949" spans="1:30" x14ac:dyDescent="0.25">
      <c r="A949">
        <v>948</v>
      </c>
      <c r="B949" t="s">
        <v>17</v>
      </c>
      <c r="C949" s="3">
        <v>36612</v>
      </c>
      <c r="D949" s="2">
        <f ca="1">DATEDIF(gym_membership[[#This Row],[birthday]],TODAY(),"y")</f>
        <v>26</v>
      </c>
      <c r="E949">
        <v>24</v>
      </c>
      <c r="F949" t="s">
        <v>18</v>
      </c>
      <c r="G949">
        <v>2</v>
      </c>
      <c r="H949" t="s">
        <v>66</v>
      </c>
      <c r="I949" t="s">
        <v>34</v>
      </c>
      <c r="J949" t="s">
        <v>57</v>
      </c>
      <c r="N949" t="b">
        <v>1</v>
      </c>
      <c r="O949" t="s">
        <v>417</v>
      </c>
      <c r="P949" t="s">
        <v>100</v>
      </c>
      <c r="Q949" t="s">
        <v>91</v>
      </c>
      <c r="R949" t="s">
        <v>41</v>
      </c>
      <c r="S949" s="1">
        <v>0.48541666666666666</v>
      </c>
      <c r="T949" s="1">
        <v>0.55833333333333335</v>
      </c>
      <c r="U949">
        <v>105</v>
      </c>
      <c r="V949" t="b">
        <v>0</v>
      </c>
      <c r="W949" t="s">
        <v>21</v>
      </c>
      <c r="Z949" t="b">
        <v>0</v>
      </c>
      <c r="AA949" t="s">
        <v>456</v>
      </c>
      <c r="AB949" t="b">
        <v>0</v>
      </c>
      <c r="AD949" s="2"/>
    </row>
    <row r="950" spans="1:30" x14ac:dyDescent="0.25">
      <c r="A950">
        <v>949</v>
      </c>
      <c r="B950" t="s">
        <v>25</v>
      </c>
      <c r="C950" s="3">
        <v>33062</v>
      </c>
      <c r="D950" s="2">
        <f ca="1">DATEDIF(gym_membership[[#This Row],[birthday]],TODAY(),"y")</f>
        <v>36</v>
      </c>
      <c r="E950">
        <v>34</v>
      </c>
      <c r="F950" t="s">
        <v>22</v>
      </c>
      <c r="G950">
        <v>2</v>
      </c>
      <c r="H950" t="s">
        <v>62</v>
      </c>
      <c r="I950" t="s">
        <v>44</v>
      </c>
      <c r="J950" t="s">
        <v>34</v>
      </c>
      <c r="N950" t="b">
        <v>0</v>
      </c>
      <c r="O950" t="s">
        <v>21</v>
      </c>
      <c r="S950" s="1">
        <v>0.70902777777777781</v>
      </c>
      <c r="T950" s="1">
        <v>0.79791666666666672</v>
      </c>
      <c r="U950">
        <v>128</v>
      </c>
      <c r="V950" t="b">
        <v>0</v>
      </c>
      <c r="W950" t="s">
        <v>21</v>
      </c>
      <c r="Z950" t="b">
        <v>1</v>
      </c>
      <c r="AA950" t="s">
        <v>45</v>
      </c>
      <c r="AB950" t="b">
        <v>0</v>
      </c>
      <c r="AD950" s="2"/>
    </row>
    <row r="951" spans="1:30" x14ac:dyDescent="0.25">
      <c r="A951">
        <v>950</v>
      </c>
      <c r="B951" t="s">
        <v>17</v>
      </c>
      <c r="C951" s="3">
        <v>37195</v>
      </c>
      <c r="D951" s="2">
        <f ca="1">DATEDIF(gym_membership[[#This Row],[birthday]],TODAY(),"y")</f>
        <v>24</v>
      </c>
      <c r="E951">
        <v>22</v>
      </c>
      <c r="F951" t="s">
        <v>22</v>
      </c>
      <c r="G951">
        <v>5</v>
      </c>
      <c r="H951" t="s">
        <v>82</v>
      </c>
      <c r="I951" t="s">
        <v>44</v>
      </c>
      <c r="J951" t="s">
        <v>34</v>
      </c>
      <c r="K951" t="s">
        <v>26</v>
      </c>
      <c r="L951" t="s">
        <v>94</v>
      </c>
      <c r="M951" t="s">
        <v>77</v>
      </c>
      <c r="N951" t="b">
        <v>1</v>
      </c>
      <c r="O951" t="s">
        <v>128</v>
      </c>
      <c r="P951" t="s">
        <v>128</v>
      </c>
      <c r="S951" s="1">
        <v>0.65555555555555556</v>
      </c>
      <c r="T951" s="1">
        <v>0.71180555555555558</v>
      </c>
      <c r="U951">
        <v>81</v>
      </c>
      <c r="V951" t="b">
        <v>0</v>
      </c>
      <c r="W951" t="s">
        <v>21</v>
      </c>
      <c r="Z951" t="b">
        <v>1</v>
      </c>
      <c r="AA951" t="s">
        <v>24</v>
      </c>
      <c r="AB951" t="b">
        <v>0</v>
      </c>
      <c r="AD951" s="2"/>
    </row>
    <row r="952" spans="1:30" x14ac:dyDescent="0.25">
      <c r="A952">
        <v>951</v>
      </c>
      <c r="B952" t="s">
        <v>17</v>
      </c>
      <c r="C952" s="3">
        <v>37563</v>
      </c>
      <c r="D952" s="2">
        <f ca="1">DATEDIF(gym_membership[[#This Row],[birthday]],TODAY(),"y")</f>
        <v>23</v>
      </c>
      <c r="E952">
        <v>21</v>
      </c>
      <c r="F952" t="s">
        <v>18</v>
      </c>
      <c r="G952">
        <v>5</v>
      </c>
      <c r="H952" t="s">
        <v>330</v>
      </c>
      <c r="I952" t="s">
        <v>44</v>
      </c>
      <c r="J952" t="s">
        <v>34</v>
      </c>
      <c r="K952" t="s">
        <v>26</v>
      </c>
      <c r="L952" t="s">
        <v>57</v>
      </c>
      <c r="M952" t="s">
        <v>77</v>
      </c>
      <c r="N952" t="b">
        <v>1</v>
      </c>
      <c r="O952" t="s">
        <v>278</v>
      </c>
      <c r="P952" t="s">
        <v>67</v>
      </c>
      <c r="Q952" t="s">
        <v>58</v>
      </c>
      <c r="S952" s="1">
        <v>0.48333333333333334</v>
      </c>
      <c r="T952" s="1">
        <v>0.59930555555555554</v>
      </c>
      <c r="U952">
        <v>167</v>
      </c>
      <c r="V952" t="b">
        <v>0</v>
      </c>
      <c r="W952" t="s">
        <v>21</v>
      </c>
      <c r="Z952" t="b">
        <v>0</v>
      </c>
      <c r="AA952" t="s">
        <v>456</v>
      </c>
      <c r="AB952" t="b">
        <v>0</v>
      </c>
      <c r="AD952" s="2"/>
    </row>
    <row r="953" spans="1:30" x14ac:dyDescent="0.25">
      <c r="A953">
        <v>952</v>
      </c>
      <c r="B953" t="s">
        <v>25</v>
      </c>
      <c r="C953" s="3">
        <v>30019</v>
      </c>
      <c r="D953" s="2">
        <f ca="1">DATEDIF(gym_membership[[#This Row],[birthday]],TODAY(),"y")</f>
        <v>44</v>
      </c>
      <c r="E953">
        <v>42</v>
      </c>
      <c r="F953" t="s">
        <v>22</v>
      </c>
      <c r="G953">
        <v>4</v>
      </c>
      <c r="H953" t="s">
        <v>418</v>
      </c>
      <c r="I953" t="s">
        <v>34</v>
      </c>
      <c r="J953" t="s">
        <v>26</v>
      </c>
      <c r="K953" t="s">
        <v>94</v>
      </c>
      <c r="L953" t="s">
        <v>57</v>
      </c>
      <c r="N953" t="b">
        <v>1</v>
      </c>
      <c r="O953" t="s">
        <v>419</v>
      </c>
      <c r="P953" t="s">
        <v>72</v>
      </c>
      <c r="Q953" t="s">
        <v>58</v>
      </c>
      <c r="S953" s="1">
        <v>0.80625000000000002</v>
      </c>
      <c r="T953" s="1">
        <v>0.90902777777777777</v>
      </c>
      <c r="U953">
        <v>148</v>
      </c>
      <c r="V953" t="b">
        <v>0</v>
      </c>
      <c r="W953" t="s">
        <v>21</v>
      </c>
      <c r="Z953" t="b">
        <v>1</v>
      </c>
      <c r="AA953" t="s">
        <v>24</v>
      </c>
      <c r="AB953" t="b">
        <v>1</v>
      </c>
      <c r="AD953" s="2"/>
    </row>
    <row r="954" spans="1:30" x14ac:dyDescent="0.25">
      <c r="A954">
        <v>953</v>
      </c>
      <c r="B954" t="s">
        <v>17</v>
      </c>
      <c r="C954" s="3">
        <v>28301</v>
      </c>
      <c r="D954" s="2">
        <f ca="1">DATEDIF(gym_membership[[#This Row],[birthday]],TODAY(),"y")</f>
        <v>49</v>
      </c>
      <c r="E954">
        <v>47</v>
      </c>
      <c r="F954" t="s">
        <v>22</v>
      </c>
      <c r="G954">
        <v>2</v>
      </c>
      <c r="H954" t="s">
        <v>37</v>
      </c>
      <c r="I954" t="s">
        <v>34</v>
      </c>
      <c r="J954" t="s">
        <v>77</v>
      </c>
      <c r="N954" t="b">
        <v>1</v>
      </c>
      <c r="O954" t="s">
        <v>107</v>
      </c>
      <c r="P954" t="s">
        <v>41</v>
      </c>
      <c r="Q954" t="s">
        <v>72</v>
      </c>
      <c r="S954" s="1">
        <v>0.78263888888888888</v>
      </c>
      <c r="T954" s="1">
        <v>0.89930555555555558</v>
      </c>
      <c r="U954">
        <v>168</v>
      </c>
      <c r="V954" t="b">
        <v>1</v>
      </c>
      <c r="W954" t="s">
        <v>217</v>
      </c>
      <c r="X954" t="s">
        <v>76</v>
      </c>
      <c r="Y954" t="s">
        <v>59</v>
      </c>
      <c r="Z954" t="b">
        <v>0</v>
      </c>
      <c r="AA954" t="s">
        <v>456</v>
      </c>
      <c r="AB954" t="b">
        <v>0</v>
      </c>
      <c r="AD954" s="2"/>
    </row>
    <row r="955" spans="1:30" x14ac:dyDescent="0.25">
      <c r="A955">
        <v>954</v>
      </c>
      <c r="B955" t="s">
        <v>25</v>
      </c>
      <c r="C955" s="3">
        <v>29199</v>
      </c>
      <c r="D955" s="2">
        <f ca="1">DATEDIF(gym_membership[[#This Row],[birthday]],TODAY(),"y")</f>
        <v>46</v>
      </c>
      <c r="E955">
        <v>44</v>
      </c>
      <c r="F955" t="s">
        <v>18</v>
      </c>
      <c r="G955">
        <v>5</v>
      </c>
      <c r="H955" t="s">
        <v>176</v>
      </c>
      <c r="I955" t="s">
        <v>44</v>
      </c>
      <c r="J955" t="s">
        <v>26</v>
      </c>
      <c r="K955" t="s">
        <v>94</v>
      </c>
      <c r="L955" t="s">
        <v>95</v>
      </c>
      <c r="M955" t="s">
        <v>57</v>
      </c>
      <c r="N955" t="b">
        <v>1</v>
      </c>
      <c r="O955" t="s">
        <v>420</v>
      </c>
      <c r="P955" t="s">
        <v>67</v>
      </c>
      <c r="Q955" t="s">
        <v>120</v>
      </c>
      <c r="S955" s="1">
        <v>0.64375000000000004</v>
      </c>
      <c r="T955" s="1">
        <v>0.73541666666666672</v>
      </c>
      <c r="U955">
        <v>132</v>
      </c>
      <c r="V955" t="b">
        <v>0</v>
      </c>
      <c r="W955" t="s">
        <v>21</v>
      </c>
      <c r="Z955" t="b">
        <v>1</v>
      </c>
      <c r="AA955" t="s">
        <v>29</v>
      </c>
      <c r="AB955" t="b">
        <v>1</v>
      </c>
      <c r="AD955" s="2"/>
    </row>
    <row r="956" spans="1:30" x14ac:dyDescent="0.25">
      <c r="A956">
        <v>955</v>
      </c>
      <c r="B956" t="s">
        <v>25</v>
      </c>
      <c r="C956" s="3">
        <v>31435</v>
      </c>
      <c r="D956" s="2">
        <f ca="1">DATEDIF(gym_membership[[#This Row],[birthday]],TODAY(),"y")</f>
        <v>40</v>
      </c>
      <c r="E956">
        <v>38</v>
      </c>
      <c r="F956" t="s">
        <v>22</v>
      </c>
      <c r="G956">
        <v>3</v>
      </c>
      <c r="H956" t="s">
        <v>161</v>
      </c>
      <c r="I956" t="s">
        <v>44</v>
      </c>
      <c r="J956" t="s">
        <v>57</v>
      </c>
      <c r="K956" t="s">
        <v>77</v>
      </c>
      <c r="N956" t="b">
        <v>1</v>
      </c>
      <c r="O956" t="s">
        <v>331</v>
      </c>
      <c r="P956" t="s">
        <v>96</v>
      </c>
      <c r="Q956" t="s">
        <v>67</v>
      </c>
      <c r="S956" s="1">
        <v>0.53194444444444444</v>
      </c>
      <c r="T956" s="1">
        <v>0.5756944444444444</v>
      </c>
      <c r="U956">
        <v>63</v>
      </c>
      <c r="V956" t="b">
        <v>1</v>
      </c>
      <c r="W956" t="s">
        <v>65</v>
      </c>
      <c r="X956" t="s">
        <v>65</v>
      </c>
      <c r="Z956" t="b">
        <v>1</v>
      </c>
      <c r="AA956" t="s">
        <v>29</v>
      </c>
      <c r="AB956" t="b">
        <v>1</v>
      </c>
      <c r="AD956" s="2"/>
    </row>
    <row r="957" spans="1:30" x14ac:dyDescent="0.25">
      <c r="A957">
        <v>956</v>
      </c>
      <c r="B957" t="s">
        <v>17</v>
      </c>
      <c r="C957" s="3">
        <v>40417</v>
      </c>
      <c r="D957" s="2">
        <f ca="1">DATEDIF(gym_membership[[#This Row],[birthday]],TODAY(),"y")</f>
        <v>16</v>
      </c>
      <c r="E957">
        <v>14</v>
      </c>
      <c r="F957" t="s">
        <v>18</v>
      </c>
      <c r="G957">
        <v>2</v>
      </c>
      <c r="H957" t="s">
        <v>140</v>
      </c>
      <c r="I957" t="s">
        <v>26</v>
      </c>
      <c r="J957" t="s">
        <v>94</v>
      </c>
      <c r="N957" t="b">
        <v>1</v>
      </c>
      <c r="O957" t="s">
        <v>120</v>
      </c>
      <c r="P957" t="s">
        <v>120</v>
      </c>
      <c r="S957" s="1">
        <v>0.59583333333333333</v>
      </c>
      <c r="T957" s="1">
        <v>0.63402777777777775</v>
      </c>
      <c r="U957">
        <v>55</v>
      </c>
      <c r="V957" t="b">
        <v>1</v>
      </c>
      <c r="W957" t="s">
        <v>69</v>
      </c>
      <c r="X957" t="s">
        <v>65</v>
      </c>
      <c r="Y957" t="s">
        <v>39</v>
      </c>
      <c r="Z957" t="b">
        <v>0</v>
      </c>
      <c r="AA957" t="s">
        <v>456</v>
      </c>
      <c r="AB957" t="b">
        <v>1</v>
      </c>
      <c r="AD957" s="2"/>
    </row>
    <row r="958" spans="1:30" x14ac:dyDescent="0.25">
      <c r="A958">
        <v>957</v>
      </c>
      <c r="B958" t="s">
        <v>17</v>
      </c>
      <c r="C958" s="3">
        <v>38547</v>
      </c>
      <c r="D958" s="2">
        <f ca="1">DATEDIF(gym_membership[[#This Row],[birthday]],TODAY(),"y")</f>
        <v>21</v>
      </c>
      <c r="E958">
        <v>19</v>
      </c>
      <c r="F958" t="s">
        <v>18</v>
      </c>
      <c r="G958">
        <v>3</v>
      </c>
      <c r="H958" t="s">
        <v>40</v>
      </c>
      <c r="I958" t="s">
        <v>26</v>
      </c>
      <c r="J958" t="s">
        <v>94</v>
      </c>
      <c r="K958" t="s">
        <v>95</v>
      </c>
      <c r="N958" t="b">
        <v>0</v>
      </c>
      <c r="O958" t="s">
        <v>21</v>
      </c>
      <c r="S958" s="1">
        <v>0.73819444444444449</v>
      </c>
      <c r="T958" s="1">
        <v>0.77361111111111114</v>
      </c>
      <c r="U958">
        <v>51</v>
      </c>
      <c r="V958" t="b">
        <v>0</v>
      </c>
      <c r="W958" t="s">
        <v>21</v>
      </c>
      <c r="Z958" t="b">
        <v>1</v>
      </c>
      <c r="AA958" t="s">
        <v>29</v>
      </c>
      <c r="AB958" t="b">
        <v>1</v>
      </c>
      <c r="AD958" s="2"/>
    </row>
    <row r="959" spans="1:30" x14ac:dyDescent="0.25">
      <c r="A959">
        <v>958</v>
      </c>
      <c r="B959" t="s">
        <v>17</v>
      </c>
      <c r="C959" s="3">
        <v>40262</v>
      </c>
      <c r="D959" s="2">
        <f ca="1">DATEDIF(gym_membership[[#This Row],[birthday]],TODAY(),"y")</f>
        <v>16</v>
      </c>
      <c r="E959">
        <v>14</v>
      </c>
      <c r="F959" t="s">
        <v>22</v>
      </c>
      <c r="G959">
        <v>3</v>
      </c>
      <c r="H959" t="s">
        <v>123</v>
      </c>
      <c r="I959" t="s">
        <v>44</v>
      </c>
      <c r="J959" t="s">
        <v>94</v>
      </c>
      <c r="K959" t="s">
        <v>95</v>
      </c>
      <c r="N959" t="b">
        <v>1</v>
      </c>
      <c r="O959" t="s">
        <v>103</v>
      </c>
      <c r="P959" t="s">
        <v>103</v>
      </c>
      <c r="S959" s="1">
        <v>0.58263888888888893</v>
      </c>
      <c r="T959" s="1">
        <v>0.69513888888888886</v>
      </c>
      <c r="U959">
        <v>162</v>
      </c>
      <c r="V959" t="b">
        <v>1</v>
      </c>
      <c r="W959" t="s">
        <v>65</v>
      </c>
      <c r="X959" t="s">
        <v>65</v>
      </c>
      <c r="Z959" t="b">
        <v>0</v>
      </c>
      <c r="AA959" t="s">
        <v>456</v>
      </c>
      <c r="AB959" t="b">
        <v>1</v>
      </c>
      <c r="AD959" s="2"/>
    </row>
    <row r="960" spans="1:30" x14ac:dyDescent="0.25">
      <c r="A960">
        <v>959</v>
      </c>
      <c r="B960" t="s">
        <v>17</v>
      </c>
      <c r="C960" s="3">
        <v>37723</v>
      </c>
      <c r="D960" s="2">
        <f ca="1">DATEDIF(gym_membership[[#This Row],[birthday]],TODAY(),"y")</f>
        <v>23</v>
      </c>
      <c r="E960">
        <v>21</v>
      </c>
      <c r="F960" t="s">
        <v>18</v>
      </c>
      <c r="G960">
        <v>3</v>
      </c>
      <c r="H960" t="s">
        <v>142</v>
      </c>
      <c r="I960" t="s">
        <v>44</v>
      </c>
      <c r="J960" t="s">
        <v>26</v>
      </c>
      <c r="K960" t="s">
        <v>57</v>
      </c>
      <c r="N960" t="b">
        <v>0</v>
      </c>
      <c r="O960" t="s">
        <v>21</v>
      </c>
      <c r="S960" s="1">
        <v>0.39027777777777778</v>
      </c>
      <c r="T960" s="1">
        <v>0.45277777777777778</v>
      </c>
      <c r="U960">
        <v>90</v>
      </c>
      <c r="V960" t="b">
        <v>1</v>
      </c>
      <c r="W960" t="s">
        <v>51</v>
      </c>
      <c r="X960" t="s">
        <v>51</v>
      </c>
      <c r="Z960" t="b">
        <v>1</v>
      </c>
      <c r="AA960" t="s">
        <v>45</v>
      </c>
      <c r="AB960" t="b">
        <v>0</v>
      </c>
      <c r="AD960" s="2"/>
    </row>
    <row r="961" spans="1:30" x14ac:dyDescent="0.25">
      <c r="A961">
        <v>960</v>
      </c>
      <c r="B961" t="s">
        <v>17</v>
      </c>
      <c r="C961" s="3">
        <v>34023</v>
      </c>
      <c r="D961" s="2">
        <f ca="1">DATEDIF(gym_membership[[#This Row],[birthday]],TODAY(),"y")</f>
        <v>33</v>
      </c>
      <c r="E961">
        <v>31</v>
      </c>
      <c r="F961" t="s">
        <v>22</v>
      </c>
      <c r="G961">
        <v>3</v>
      </c>
      <c r="H961" t="s">
        <v>142</v>
      </c>
      <c r="I961" t="s">
        <v>44</v>
      </c>
      <c r="J961" t="s">
        <v>26</v>
      </c>
      <c r="K961" t="s">
        <v>57</v>
      </c>
      <c r="N961" t="b">
        <v>0</v>
      </c>
      <c r="O961" t="s">
        <v>21</v>
      </c>
      <c r="S961" s="1">
        <v>0.42638888888888887</v>
      </c>
      <c r="T961" s="1">
        <v>0.55069444444444449</v>
      </c>
      <c r="U961">
        <v>179</v>
      </c>
      <c r="V961" t="b">
        <v>0</v>
      </c>
      <c r="W961" t="s">
        <v>21</v>
      </c>
      <c r="Z961" t="b">
        <v>1</v>
      </c>
      <c r="AA961" t="s">
        <v>24</v>
      </c>
      <c r="AB961" t="b">
        <v>1</v>
      </c>
      <c r="AD961" s="2"/>
    </row>
    <row r="962" spans="1:30" x14ac:dyDescent="0.25">
      <c r="A962">
        <v>961</v>
      </c>
      <c r="B962" t="s">
        <v>17</v>
      </c>
      <c r="C962" s="3">
        <v>33231</v>
      </c>
      <c r="D962" s="2">
        <f ca="1">DATEDIF(gym_membership[[#This Row],[birthday]],TODAY(),"y")</f>
        <v>35</v>
      </c>
      <c r="E962">
        <v>33</v>
      </c>
      <c r="F962" t="s">
        <v>18</v>
      </c>
      <c r="G962">
        <v>4</v>
      </c>
      <c r="H962" t="s">
        <v>265</v>
      </c>
      <c r="I962" t="s">
        <v>44</v>
      </c>
      <c r="J962" t="s">
        <v>34</v>
      </c>
      <c r="K962" t="s">
        <v>94</v>
      </c>
      <c r="L962" t="s">
        <v>95</v>
      </c>
      <c r="N962" t="b">
        <v>0</v>
      </c>
      <c r="O962" t="s">
        <v>21</v>
      </c>
      <c r="S962" s="1">
        <v>0.43333333333333335</v>
      </c>
      <c r="T962" s="1">
        <v>0.49166666666666664</v>
      </c>
      <c r="U962">
        <v>84</v>
      </c>
      <c r="V962" t="b">
        <v>1</v>
      </c>
      <c r="W962" t="s">
        <v>65</v>
      </c>
      <c r="X962" t="s">
        <v>65</v>
      </c>
      <c r="Z962" t="b">
        <v>0</v>
      </c>
      <c r="AA962" t="s">
        <v>456</v>
      </c>
      <c r="AB962" t="b">
        <v>0</v>
      </c>
      <c r="AD962" s="2"/>
    </row>
    <row r="963" spans="1:30" x14ac:dyDescent="0.25">
      <c r="A963">
        <v>962</v>
      </c>
      <c r="B963" t="s">
        <v>17</v>
      </c>
      <c r="C963" s="3">
        <v>35054</v>
      </c>
      <c r="D963" s="2">
        <f ca="1">DATEDIF(gym_membership[[#This Row],[birthday]],TODAY(),"y")</f>
        <v>30</v>
      </c>
      <c r="E963">
        <v>28</v>
      </c>
      <c r="F963" t="s">
        <v>22</v>
      </c>
      <c r="G963">
        <v>3</v>
      </c>
      <c r="H963" t="s">
        <v>55</v>
      </c>
      <c r="I963" t="s">
        <v>44</v>
      </c>
      <c r="J963" t="s">
        <v>26</v>
      </c>
      <c r="K963" t="s">
        <v>94</v>
      </c>
      <c r="N963" t="b">
        <v>0</v>
      </c>
      <c r="O963" t="s">
        <v>21</v>
      </c>
      <c r="S963" s="1">
        <v>0.56111111111111112</v>
      </c>
      <c r="T963" s="1">
        <v>0.65555555555555556</v>
      </c>
      <c r="U963">
        <v>136</v>
      </c>
      <c r="V963" t="b">
        <v>1</v>
      </c>
      <c r="W963" t="s">
        <v>207</v>
      </c>
      <c r="X963" t="s">
        <v>76</v>
      </c>
      <c r="Y963" t="s">
        <v>51</v>
      </c>
      <c r="Z963" t="b">
        <v>1</v>
      </c>
      <c r="AA963" t="s">
        <v>43</v>
      </c>
      <c r="AB963" t="b">
        <v>1</v>
      </c>
      <c r="AD963" s="2"/>
    </row>
    <row r="964" spans="1:30" x14ac:dyDescent="0.25">
      <c r="A964">
        <v>963</v>
      </c>
      <c r="B964" t="s">
        <v>25</v>
      </c>
      <c r="C964" s="3">
        <v>40619</v>
      </c>
      <c r="D964" s="2">
        <f ca="1">DATEDIF(gym_membership[[#This Row],[birthday]],TODAY(),"y")</f>
        <v>15</v>
      </c>
      <c r="E964">
        <v>13</v>
      </c>
      <c r="F964" t="s">
        <v>18</v>
      </c>
      <c r="G964">
        <v>2</v>
      </c>
      <c r="H964" t="s">
        <v>119</v>
      </c>
      <c r="I964" t="s">
        <v>44</v>
      </c>
      <c r="J964" t="s">
        <v>57</v>
      </c>
      <c r="N964" t="b">
        <v>1</v>
      </c>
      <c r="O964" t="s">
        <v>27</v>
      </c>
      <c r="P964" t="s">
        <v>27</v>
      </c>
      <c r="S964" s="1">
        <v>0.39097222222222222</v>
      </c>
      <c r="T964" s="1">
        <v>0.50138888888888888</v>
      </c>
      <c r="U964">
        <v>159</v>
      </c>
      <c r="V964" t="b">
        <v>0</v>
      </c>
      <c r="W964" t="s">
        <v>21</v>
      </c>
      <c r="Z964" t="b">
        <v>0</v>
      </c>
      <c r="AA964" t="s">
        <v>456</v>
      </c>
      <c r="AB964" t="b">
        <v>1</v>
      </c>
      <c r="AD964" s="2"/>
    </row>
    <row r="965" spans="1:30" x14ac:dyDescent="0.25">
      <c r="A965">
        <v>964</v>
      </c>
      <c r="B965" t="s">
        <v>25</v>
      </c>
      <c r="C965" s="3">
        <v>29703</v>
      </c>
      <c r="D965" s="2">
        <f ca="1">DATEDIF(gym_membership[[#This Row],[birthday]],TODAY(),"y")</f>
        <v>45</v>
      </c>
      <c r="E965">
        <v>43</v>
      </c>
      <c r="F965" t="s">
        <v>22</v>
      </c>
      <c r="G965">
        <v>3</v>
      </c>
      <c r="H965" t="s">
        <v>116</v>
      </c>
      <c r="I965" t="s">
        <v>44</v>
      </c>
      <c r="J965" t="s">
        <v>94</v>
      </c>
      <c r="K965" t="s">
        <v>57</v>
      </c>
      <c r="N965" t="b">
        <v>0</v>
      </c>
      <c r="O965" t="s">
        <v>21</v>
      </c>
      <c r="S965" s="1">
        <v>0.77569444444444446</v>
      </c>
      <c r="T965" s="1">
        <v>0.84375</v>
      </c>
      <c r="U965">
        <v>98</v>
      </c>
      <c r="V965" t="b">
        <v>0</v>
      </c>
      <c r="W965" t="s">
        <v>21</v>
      </c>
      <c r="Z965" t="b">
        <v>1</v>
      </c>
      <c r="AA965" t="s">
        <v>29</v>
      </c>
      <c r="AB965" t="b">
        <v>1</v>
      </c>
      <c r="AD965" s="2"/>
    </row>
    <row r="966" spans="1:30" x14ac:dyDescent="0.25">
      <c r="A966">
        <v>965</v>
      </c>
      <c r="B966" t="s">
        <v>25</v>
      </c>
      <c r="C966" s="3">
        <v>40118</v>
      </c>
      <c r="D966" s="2">
        <f ca="1">DATEDIF(gym_membership[[#This Row],[birthday]],TODAY(),"y")</f>
        <v>16</v>
      </c>
      <c r="E966">
        <v>14</v>
      </c>
      <c r="F966" t="s">
        <v>22</v>
      </c>
      <c r="G966">
        <v>1</v>
      </c>
      <c r="H966" t="s">
        <v>34</v>
      </c>
      <c r="I966" t="s">
        <v>34</v>
      </c>
      <c r="N966" t="b">
        <v>1</v>
      </c>
      <c r="O966" t="s">
        <v>421</v>
      </c>
      <c r="P966" t="s">
        <v>103</v>
      </c>
      <c r="Q966" t="s">
        <v>96</v>
      </c>
      <c r="R966" t="s">
        <v>27</v>
      </c>
      <c r="S966" s="1">
        <v>0.49722222222222223</v>
      </c>
      <c r="T966" s="1">
        <v>0.56736111111111109</v>
      </c>
      <c r="U966">
        <v>101</v>
      </c>
      <c r="V966" t="b">
        <v>0</v>
      </c>
      <c r="W966" t="s">
        <v>21</v>
      </c>
      <c r="Z966" t="b">
        <v>0</v>
      </c>
      <c r="AA966" t="s">
        <v>456</v>
      </c>
      <c r="AB966" t="b">
        <v>0</v>
      </c>
      <c r="AD966" s="2"/>
    </row>
    <row r="967" spans="1:30" x14ac:dyDescent="0.25">
      <c r="A967">
        <v>966</v>
      </c>
      <c r="B967" t="s">
        <v>25</v>
      </c>
      <c r="C967" s="3">
        <v>32196</v>
      </c>
      <c r="D967" s="2">
        <f ca="1">DATEDIF(gym_membership[[#This Row],[birthday]],TODAY(),"y")</f>
        <v>38</v>
      </c>
      <c r="E967">
        <v>36</v>
      </c>
      <c r="F967" t="s">
        <v>18</v>
      </c>
      <c r="G967">
        <v>2</v>
      </c>
      <c r="H967" t="s">
        <v>60</v>
      </c>
      <c r="I967" t="s">
        <v>26</v>
      </c>
      <c r="J967" t="s">
        <v>77</v>
      </c>
      <c r="N967" t="b">
        <v>0</v>
      </c>
      <c r="O967" t="s">
        <v>21</v>
      </c>
      <c r="S967" s="1">
        <v>0.7006944444444444</v>
      </c>
      <c r="T967" s="1">
        <v>0.79861111111111116</v>
      </c>
      <c r="U967">
        <v>141</v>
      </c>
      <c r="V967" t="b">
        <v>0</v>
      </c>
      <c r="W967" t="s">
        <v>21</v>
      </c>
      <c r="Z967" t="b">
        <v>1</v>
      </c>
      <c r="AA967" t="s">
        <v>45</v>
      </c>
      <c r="AB967" t="b">
        <v>1</v>
      </c>
      <c r="AD967" s="2"/>
    </row>
    <row r="968" spans="1:30" x14ac:dyDescent="0.25">
      <c r="A968">
        <v>967</v>
      </c>
      <c r="B968" t="s">
        <v>17</v>
      </c>
      <c r="C968" s="3">
        <v>35879</v>
      </c>
      <c r="D968" s="2">
        <f ca="1">DATEDIF(gym_membership[[#This Row],[birthday]],TODAY(),"y")</f>
        <v>28</v>
      </c>
      <c r="E968">
        <v>26</v>
      </c>
      <c r="F968" t="s">
        <v>22</v>
      </c>
      <c r="G968">
        <v>1</v>
      </c>
      <c r="H968" t="s">
        <v>34</v>
      </c>
      <c r="I968" t="s">
        <v>34</v>
      </c>
      <c r="N968" t="b">
        <v>1</v>
      </c>
      <c r="O968" t="s">
        <v>27</v>
      </c>
      <c r="P968" t="s">
        <v>27</v>
      </c>
      <c r="S968" s="1">
        <v>0.48749999999999999</v>
      </c>
      <c r="T968" s="1">
        <v>0.56874999999999998</v>
      </c>
      <c r="U968">
        <v>117</v>
      </c>
      <c r="V968" t="b">
        <v>0</v>
      </c>
      <c r="W968" t="s">
        <v>21</v>
      </c>
      <c r="Z968" t="b">
        <v>1</v>
      </c>
      <c r="AA968" t="s">
        <v>43</v>
      </c>
      <c r="AB968" t="b">
        <v>0</v>
      </c>
      <c r="AD968" s="2"/>
    </row>
    <row r="969" spans="1:30" x14ac:dyDescent="0.25">
      <c r="A969">
        <v>968</v>
      </c>
      <c r="B969" t="s">
        <v>17</v>
      </c>
      <c r="C969" s="3">
        <v>40688</v>
      </c>
      <c r="D969" s="2">
        <f ca="1">DATEDIF(gym_membership[[#This Row],[birthday]],TODAY(),"y")</f>
        <v>15</v>
      </c>
      <c r="E969">
        <v>13</v>
      </c>
      <c r="F969" t="s">
        <v>22</v>
      </c>
      <c r="G969">
        <v>3</v>
      </c>
      <c r="H969" t="s">
        <v>50</v>
      </c>
      <c r="I969" t="s">
        <v>34</v>
      </c>
      <c r="J969" t="s">
        <v>57</v>
      </c>
      <c r="K969" t="s">
        <v>77</v>
      </c>
      <c r="N969" t="b">
        <v>0</v>
      </c>
      <c r="O969" t="s">
        <v>21</v>
      </c>
      <c r="S969" s="1">
        <v>0.56666666666666665</v>
      </c>
      <c r="T969" s="1">
        <v>0.58888888888888891</v>
      </c>
      <c r="U969">
        <v>32</v>
      </c>
      <c r="V969" t="b">
        <v>0</v>
      </c>
      <c r="W969" t="s">
        <v>21</v>
      </c>
      <c r="Z969" t="b">
        <v>1</v>
      </c>
      <c r="AA969" t="s">
        <v>29</v>
      </c>
      <c r="AB969" t="b">
        <v>0</v>
      </c>
      <c r="AD969" s="2"/>
    </row>
    <row r="970" spans="1:30" x14ac:dyDescent="0.25">
      <c r="A970">
        <v>969</v>
      </c>
      <c r="B970" t="s">
        <v>25</v>
      </c>
      <c r="C970" s="3">
        <v>36111</v>
      </c>
      <c r="D970" s="2">
        <f ca="1">DATEDIF(gym_membership[[#This Row],[birthday]],TODAY(),"y")</f>
        <v>27</v>
      </c>
      <c r="E970">
        <v>25</v>
      </c>
      <c r="F970" t="s">
        <v>22</v>
      </c>
      <c r="G970">
        <v>1</v>
      </c>
      <c r="H970" t="s">
        <v>44</v>
      </c>
      <c r="I970" t="s">
        <v>44</v>
      </c>
      <c r="N970" t="b">
        <v>0</v>
      </c>
      <c r="O970" t="s">
        <v>21</v>
      </c>
      <c r="S970" s="1">
        <v>0.6479166666666667</v>
      </c>
      <c r="T970" s="1">
        <v>0.75</v>
      </c>
      <c r="U970">
        <v>147</v>
      </c>
      <c r="V970" t="b">
        <v>0</v>
      </c>
      <c r="W970" t="s">
        <v>21</v>
      </c>
      <c r="Z970" t="b">
        <v>1</v>
      </c>
      <c r="AA970" t="s">
        <v>29</v>
      </c>
      <c r="AB970" t="b">
        <v>0</v>
      </c>
      <c r="AD970" s="2"/>
    </row>
    <row r="971" spans="1:30" x14ac:dyDescent="0.25">
      <c r="A971">
        <v>970</v>
      </c>
      <c r="B971" t="s">
        <v>25</v>
      </c>
      <c r="C971" s="3">
        <v>28629</v>
      </c>
      <c r="D971" s="2">
        <f ca="1">DATEDIF(gym_membership[[#This Row],[birthday]],TODAY(),"y")</f>
        <v>48</v>
      </c>
      <c r="E971">
        <v>46</v>
      </c>
      <c r="F971" t="s">
        <v>18</v>
      </c>
      <c r="G971">
        <v>2</v>
      </c>
      <c r="H971" t="s">
        <v>235</v>
      </c>
      <c r="I971" t="s">
        <v>95</v>
      </c>
      <c r="J971" t="s">
        <v>57</v>
      </c>
      <c r="N971" t="b">
        <v>0</v>
      </c>
      <c r="O971" t="s">
        <v>21</v>
      </c>
      <c r="S971" s="1">
        <v>0.34861111111111109</v>
      </c>
      <c r="T971" s="1">
        <v>0.45277777777777778</v>
      </c>
      <c r="U971">
        <v>150</v>
      </c>
      <c r="V971" t="b">
        <v>0</v>
      </c>
      <c r="W971" t="s">
        <v>21</v>
      </c>
      <c r="Z971" t="b">
        <v>1</v>
      </c>
      <c r="AA971" t="s">
        <v>29</v>
      </c>
      <c r="AB971" t="b">
        <v>1</v>
      </c>
      <c r="AD971" s="2"/>
    </row>
    <row r="972" spans="1:30" x14ac:dyDescent="0.25">
      <c r="A972">
        <v>971</v>
      </c>
      <c r="B972" t="s">
        <v>17</v>
      </c>
      <c r="C972" s="3">
        <v>37280</v>
      </c>
      <c r="D972" s="2">
        <f ca="1">DATEDIF(gym_membership[[#This Row],[birthday]],TODAY(),"y")</f>
        <v>24</v>
      </c>
      <c r="E972">
        <v>22</v>
      </c>
      <c r="F972" t="s">
        <v>18</v>
      </c>
      <c r="G972">
        <v>3</v>
      </c>
      <c r="H972" t="s">
        <v>274</v>
      </c>
      <c r="I972" t="s">
        <v>44</v>
      </c>
      <c r="J972" t="s">
        <v>34</v>
      </c>
      <c r="K972" t="s">
        <v>57</v>
      </c>
      <c r="N972" t="b">
        <v>1</v>
      </c>
      <c r="O972" t="s">
        <v>422</v>
      </c>
      <c r="P972" t="s">
        <v>67</v>
      </c>
      <c r="Q972" t="s">
        <v>128</v>
      </c>
      <c r="R972" t="s">
        <v>100</v>
      </c>
      <c r="S972" s="1">
        <v>0.69236111111111109</v>
      </c>
      <c r="T972" s="1">
        <v>0.7416666666666667</v>
      </c>
      <c r="U972">
        <v>71</v>
      </c>
      <c r="V972" t="b">
        <v>1</v>
      </c>
      <c r="W972" t="s">
        <v>76</v>
      </c>
      <c r="X972" t="s">
        <v>76</v>
      </c>
      <c r="Z972" t="b">
        <v>0</v>
      </c>
      <c r="AA972" t="s">
        <v>456</v>
      </c>
      <c r="AB972" t="b">
        <v>1</v>
      </c>
      <c r="AD972" s="2"/>
    </row>
    <row r="973" spans="1:30" x14ac:dyDescent="0.25">
      <c r="A973">
        <v>972</v>
      </c>
      <c r="B973" t="s">
        <v>25</v>
      </c>
      <c r="C973" s="3">
        <v>34294</v>
      </c>
      <c r="D973" s="2">
        <f ca="1">DATEDIF(gym_membership[[#This Row],[birthday]],TODAY(),"y")</f>
        <v>32</v>
      </c>
      <c r="E973">
        <v>30</v>
      </c>
      <c r="F973" t="s">
        <v>18</v>
      </c>
      <c r="G973">
        <v>3</v>
      </c>
      <c r="H973" t="s">
        <v>193</v>
      </c>
      <c r="I973" t="s">
        <v>44</v>
      </c>
      <c r="J973" t="s">
        <v>26</v>
      </c>
      <c r="K973" t="s">
        <v>95</v>
      </c>
      <c r="N973" t="b">
        <v>1</v>
      </c>
      <c r="O973" t="s">
        <v>423</v>
      </c>
      <c r="P973" t="s">
        <v>103</v>
      </c>
      <c r="Q973" t="s">
        <v>41</v>
      </c>
      <c r="R973" t="s">
        <v>120</v>
      </c>
      <c r="S973" s="1">
        <v>0.61388888888888893</v>
      </c>
      <c r="T973" s="1">
        <v>0.66666666666666663</v>
      </c>
      <c r="U973">
        <v>76</v>
      </c>
      <c r="V973" t="b">
        <v>1</v>
      </c>
      <c r="W973" t="s">
        <v>39</v>
      </c>
      <c r="X973" t="s">
        <v>39</v>
      </c>
      <c r="Z973" t="b">
        <v>1</v>
      </c>
      <c r="AA973" t="s">
        <v>45</v>
      </c>
      <c r="AB973" t="b">
        <v>1</v>
      </c>
      <c r="AD973" s="2"/>
    </row>
    <row r="974" spans="1:30" x14ac:dyDescent="0.25">
      <c r="A974">
        <v>973</v>
      </c>
      <c r="B974" t="s">
        <v>25</v>
      </c>
      <c r="C974" s="3">
        <v>33315</v>
      </c>
      <c r="D974" s="2">
        <f ca="1">DATEDIF(gym_membership[[#This Row],[birthday]],TODAY(),"y")</f>
        <v>35</v>
      </c>
      <c r="E974">
        <v>33</v>
      </c>
      <c r="F974" t="s">
        <v>22</v>
      </c>
      <c r="G974">
        <v>1</v>
      </c>
      <c r="H974" t="s">
        <v>77</v>
      </c>
      <c r="I974" t="s">
        <v>77</v>
      </c>
      <c r="N974" t="b">
        <v>1</v>
      </c>
      <c r="O974" t="s">
        <v>41</v>
      </c>
      <c r="P974" t="s">
        <v>41</v>
      </c>
      <c r="S974" s="1">
        <v>0.69513888888888886</v>
      </c>
      <c r="T974" s="1">
        <v>0.77013888888888893</v>
      </c>
      <c r="U974">
        <v>108</v>
      </c>
      <c r="V974" t="b">
        <v>0</v>
      </c>
      <c r="W974" t="s">
        <v>21</v>
      </c>
      <c r="Z974" t="b">
        <v>0</v>
      </c>
      <c r="AA974" t="s">
        <v>456</v>
      </c>
      <c r="AB974" t="b">
        <v>1</v>
      </c>
      <c r="AD974" s="2"/>
    </row>
    <row r="975" spans="1:30" x14ac:dyDescent="0.25">
      <c r="A975">
        <v>974</v>
      </c>
      <c r="B975" t="s">
        <v>17</v>
      </c>
      <c r="C975" s="3">
        <v>35016</v>
      </c>
      <c r="D975" s="2">
        <f ca="1">DATEDIF(gym_membership[[#This Row],[birthday]],TODAY(),"y")</f>
        <v>30</v>
      </c>
      <c r="E975">
        <v>28</v>
      </c>
      <c r="F975" t="s">
        <v>18</v>
      </c>
      <c r="G975">
        <v>4</v>
      </c>
      <c r="H975" t="s">
        <v>209</v>
      </c>
      <c r="I975" t="s">
        <v>44</v>
      </c>
      <c r="J975" t="s">
        <v>34</v>
      </c>
      <c r="K975" t="s">
        <v>57</v>
      </c>
      <c r="L975" t="s">
        <v>77</v>
      </c>
      <c r="N975" t="b">
        <v>1</v>
      </c>
      <c r="O975" t="s">
        <v>100</v>
      </c>
      <c r="P975" t="s">
        <v>100</v>
      </c>
      <c r="S975" s="1">
        <v>0.46527777777777779</v>
      </c>
      <c r="T975" s="1">
        <v>0.5805555555555556</v>
      </c>
      <c r="U975">
        <v>166</v>
      </c>
      <c r="V975" t="b">
        <v>0</v>
      </c>
      <c r="W975" t="s">
        <v>21</v>
      </c>
      <c r="Z975" t="b">
        <v>1</v>
      </c>
      <c r="AA975" t="s">
        <v>29</v>
      </c>
      <c r="AB975" t="b">
        <v>1</v>
      </c>
      <c r="AD975" s="2"/>
    </row>
    <row r="976" spans="1:30" x14ac:dyDescent="0.25">
      <c r="A976">
        <v>975</v>
      </c>
      <c r="B976" t="s">
        <v>25</v>
      </c>
      <c r="C976" s="3">
        <v>28041</v>
      </c>
      <c r="D976" s="2">
        <f ca="1">DATEDIF(gym_membership[[#This Row],[birthday]],TODAY(),"y")</f>
        <v>49</v>
      </c>
      <c r="E976">
        <v>48</v>
      </c>
      <c r="F976" t="s">
        <v>22</v>
      </c>
      <c r="G976">
        <v>3</v>
      </c>
      <c r="H976" t="s">
        <v>71</v>
      </c>
      <c r="I976" t="s">
        <v>44</v>
      </c>
      <c r="J976" t="s">
        <v>94</v>
      </c>
      <c r="K976" t="s">
        <v>77</v>
      </c>
      <c r="N976" t="b">
        <v>0</v>
      </c>
      <c r="O976" t="s">
        <v>21</v>
      </c>
      <c r="S976" s="1">
        <v>0.46319444444444446</v>
      </c>
      <c r="T976" s="1">
        <v>0.52986111111111112</v>
      </c>
      <c r="U976">
        <v>96</v>
      </c>
      <c r="V976" t="b">
        <v>1</v>
      </c>
      <c r="W976" t="s">
        <v>130</v>
      </c>
      <c r="X976" t="s">
        <v>76</v>
      </c>
      <c r="Y976" t="s">
        <v>39</v>
      </c>
      <c r="Z976" t="b">
        <v>1</v>
      </c>
      <c r="AA976" t="s">
        <v>45</v>
      </c>
      <c r="AB976" t="b">
        <v>1</v>
      </c>
      <c r="AD976" s="2"/>
    </row>
    <row r="977" spans="1:30" x14ac:dyDescent="0.25">
      <c r="A977">
        <v>976</v>
      </c>
      <c r="B977" t="s">
        <v>17</v>
      </c>
      <c r="C977" s="3">
        <v>39734</v>
      </c>
      <c r="D977" s="2">
        <f ca="1">DATEDIF(gym_membership[[#This Row],[birthday]],TODAY(),"y")</f>
        <v>17</v>
      </c>
      <c r="E977">
        <v>16</v>
      </c>
      <c r="F977" t="s">
        <v>18</v>
      </c>
      <c r="G977">
        <v>5</v>
      </c>
      <c r="H977" t="s">
        <v>230</v>
      </c>
      <c r="I977" t="s">
        <v>44</v>
      </c>
      <c r="J977" t="s">
        <v>34</v>
      </c>
      <c r="K977" t="s">
        <v>95</v>
      </c>
      <c r="L977" t="s">
        <v>57</v>
      </c>
      <c r="M977" t="s">
        <v>77</v>
      </c>
      <c r="N977" t="b">
        <v>0</v>
      </c>
      <c r="O977" t="s">
        <v>21</v>
      </c>
      <c r="S977" s="1">
        <v>0.69374999999999998</v>
      </c>
      <c r="T977" s="1">
        <v>0.77083333333333337</v>
      </c>
      <c r="U977">
        <v>111</v>
      </c>
      <c r="V977" t="b">
        <v>1</v>
      </c>
      <c r="W977" t="s">
        <v>59</v>
      </c>
      <c r="X977" t="s">
        <v>59</v>
      </c>
      <c r="Z977" t="b">
        <v>0</v>
      </c>
      <c r="AA977" t="s">
        <v>456</v>
      </c>
      <c r="AB977" t="b">
        <v>0</v>
      </c>
      <c r="AD977" s="2"/>
    </row>
    <row r="978" spans="1:30" x14ac:dyDescent="0.25">
      <c r="A978">
        <v>977</v>
      </c>
      <c r="B978" t="s">
        <v>25</v>
      </c>
      <c r="C978" s="3">
        <v>32475</v>
      </c>
      <c r="D978" s="2">
        <f ca="1">DATEDIF(gym_membership[[#This Row],[birthday]],TODAY(),"y")</f>
        <v>37</v>
      </c>
      <c r="E978">
        <v>35</v>
      </c>
      <c r="F978" t="s">
        <v>22</v>
      </c>
      <c r="G978">
        <v>3</v>
      </c>
      <c r="H978" t="s">
        <v>164</v>
      </c>
      <c r="I978" t="s">
        <v>34</v>
      </c>
      <c r="J978" t="s">
        <v>26</v>
      </c>
      <c r="K978" t="s">
        <v>95</v>
      </c>
      <c r="N978" t="b">
        <v>1</v>
      </c>
      <c r="O978" t="s">
        <v>41</v>
      </c>
      <c r="P978" t="s">
        <v>41</v>
      </c>
      <c r="S978" s="1">
        <v>0.44166666666666665</v>
      </c>
      <c r="T978" s="1">
        <v>0.49027777777777776</v>
      </c>
      <c r="U978">
        <v>70</v>
      </c>
      <c r="V978" t="b">
        <v>1</v>
      </c>
      <c r="W978" t="s">
        <v>114</v>
      </c>
      <c r="X978" t="s">
        <v>59</v>
      </c>
      <c r="Y978" t="s">
        <v>76</v>
      </c>
      <c r="Z978" t="b">
        <v>1</v>
      </c>
      <c r="AA978" t="s">
        <v>29</v>
      </c>
      <c r="AB978" t="b">
        <v>1</v>
      </c>
      <c r="AD978" s="2"/>
    </row>
    <row r="979" spans="1:30" x14ac:dyDescent="0.25">
      <c r="A979">
        <v>978</v>
      </c>
      <c r="B979" t="s">
        <v>25</v>
      </c>
      <c r="C979" s="3">
        <v>36805</v>
      </c>
      <c r="D979" s="2">
        <f ca="1">DATEDIF(gym_membership[[#This Row],[birthday]],TODAY(),"y")</f>
        <v>25</v>
      </c>
      <c r="E979">
        <v>24</v>
      </c>
      <c r="F979" t="s">
        <v>22</v>
      </c>
      <c r="G979">
        <v>3</v>
      </c>
      <c r="H979" t="s">
        <v>142</v>
      </c>
      <c r="I979" t="s">
        <v>44</v>
      </c>
      <c r="J979" t="s">
        <v>26</v>
      </c>
      <c r="K979" t="s">
        <v>57</v>
      </c>
      <c r="N979" t="b">
        <v>0</v>
      </c>
      <c r="O979" t="s">
        <v>21</v>
      </c>
      <c r="S979" s="1">
        <v>0.79166666666666663</v>
      </c>
      <c r="T979" s="1">
        <v>0.8881944444444444</v>
      </c>
      <c r="U979">
        <v>139</v>
      </c>
      <c r="V979" t="b">
        <v>1</v>
      </c>
      <c r="W979" t="s">
        <v>39</v>
      </c>
      <c r="X979" t="s">
        <v>39</v>
      </c>
      <c r="Z979" t="b">
        <v>0</v>
      </c>
      <c r="AA979" t="s">
        <v>456</v>
      </c>
      <c r="AB979" t="b">
        <v>0</v>
      </c>
      <c r="AD979" s="2"/>
    </row>
    <row r="980" spans="1:30" x14ac:dyDescent="0.25">
      <c r="A980">
        <v>979</v>
      </c>
      <c r="B980" t="s">
        <v>25</v>
      </c>
      <c r="C980" s="3">
        <v>39570</v>
      </c>
      <c r="D980" s="2">
        <f ca="1">DATEDIF(gym_membership[[#This Row],[birthday]],TODAY(),"y")</f>
        <v>18</v>
      </c>
      <c r="E980">
        <v>16</v>
      </c>
      <c r="F980" t="s">
        <v>18</v>
      </c>
      <c r="G980">
        <v>3</v>
      </c>
      <c r="H980" t="s">
        <v>149</v>
      </c>
      <c r="I980" t="s">
        <v>26</v>
      </c>
      <c r="J980" t="s">
        <v>94</v>
      </c>
      <c r="K980" t="s">
        <v>77</v>
      </c>
      <c r="N980" t="b">
        <v>1</v>
      </c>
      <c r="O980" t="s">
        <v>424</v>
      </c>
      <c r="P980" t="s">
        <v>91</v>
      </c>
      <c r="Q980" t="s">
        <v>128</v>
      </c>
      <c r="R980" t="s">
        <v>67</v>
      </c>
      <c r="S980" s="1">
        <v>0.5625</v>
      </c>
      <c r="T980" s="1">
        <v>0.59722222222222221</v>
      </c>
      <c r="U980">
        <v>50</v>
      </c>
      <c r="V980" t="b">
        <v>1</v>
      </c>
      <c r="W980" t="s">
        <v>65</v>
      </c>
      <c r="X980" t="s">
        <v>65</v>
      </c>
      <c r="Z980" t="b">
        <v>0</v>
      </c>
      <c r="AA980" t="s">
        <v>456</v>
      </c>
      <c r="AB980" t="b">
        <v>1</v>
      </c>
      <c r="AD980" s="2"/>
    </row>
    <row r="981" spans="1:30" x14ac:dyDescent="0.25">
      <c r="A981">
        <v>980</v>
      </c>
      <c r="B981" t="s">
        <v>25</v>
      </c>
      <c r="C981" s="3">
        <v>33742</v>
      </c>
      <c r="D981" s="2">
        <f ca="1">DATEDIF(gym_membership[[#This Row],[birthday]],TODAY(),"y")</f>
        <v>34</v>
      </c>
      <c r="E981">
        <v>32</v>
      </c>
      <c r="F981" t="s">
        <v>22</v>
      </c>
      <c r="G981">
        <v>3</v>
      </c>
      <c r="H981" t="s">
        <v>161</v>
      </c>
      <c r="I981" t="s">
        <v>44</v>
      </c>
      <c r="J981" t="s">
        <v>57</v>
      </c>
      <c r="K981" t="s">
        <v>77</v>
      </c>
      <c r="N981" t="b">
        <v>1</v>
      </c>
      <c r="O981" t="s">
        <v>120</v>
      </c>
      <c r="P981" t="s">
        <v>120</v>
      </c>
      <c r="S981" s="1">
        <v>0.74097222222222225</v>
      </c>
      <c r="T981" s="1">
        <v>0.81111111111111112</v>
      </c>
      <c r="U981">
        <v>101</v>
      </c>
      <c r="V981" t="b">
        <v>0</v>
      </c>
      <c r="W981" t="s">
        <v>21</v>
      </c>
      <c r="Z981" t="b">
        <v>0</v>
      </c>
      <c r="AA981" t="s">
        <v>456</v>
      </c>
      <c r="AB981" t="b">
        <v>1</v>
      </c>
      <c r="AD981" s="2"/>
    </row>
    <row r="982" spans="1:30" x14ac:dyDescent="0.25">
      <c r="A982">
        <v>981</v>
      </c>
      <c r="B982" t="s">
        <v>17</v>
      </c>
      <c r="C982" s="3">
        <v>33625</v>
      </c>
      <c r="D982" s="2">
        <f ca="1">DATEDIF(gym_membership[[#This Row],[birthday]],TODAY(),"y")</f>
        <v>34</v>
      </c>
      <c r="E982">
        <v>32</v>
      </c>
      <c r="F982" t="s">
        <v>22</v>
      </c>
      <c r="G982">
        <v>3</v>
      </c>
      <c r="H982" t="s">
        <v>71</v>
      </c>
      <c r="I982" t="s">
        <v>44</v>
      </c>
      <c r="J982" t="s">
        <v>94</v>
      </c>
      <c r="K982" t="s">
        <v>77</v>
      </c>
      <c r="N982" t="b">
        <v>1</v>
      </c>
      <c r="O982" t="s">
        <v>425</v>
      </c>
      <c r="P982" t="s">
        <v>27</v>
      </c>
      <c r="Q982" t="s">
        <v>120</v>
      </c>
      <c r="R982" t="s">
        <v>72</v>
      </c>
      <c r="S982" s="1">
        <v>0.61944444444444446</v>
      </c>
      <c r="T982" s="1">
        <v>0.73055555555555551</v>
      </c>
      <c r="U982">
        <v>160</v>
      </c>
      <c r="V982" t="b">
        <v>0</v>
      </c>
      <c r="W982" t="s">
        <v>21</v>
      </c>
      <c r="Z982" t="b">
        <v>0</v>
      </c>
      <c r="AA982" t="s">
        <v>456</v>
      </c>
      <c r="AB982" t="b">
        <v>0</v>
      </c>
      <c r="AD982" s="2"/>
    </row>
    <row r="983" spans="1:30" x14ac:dyDescent="0.25">
      <c r="A983">
        <v>982</v>
      </c>
      <c r="B983" t="s">
        <v>17</v>
      </c>
      <c r="C983" s="3">
        <v>37854</v>
      </c>
      <c r="D983" s="2">
        <f ca="1">DATEDIF(gym_membership[[#This Row],[birthday]],TODAY(),"y")</f>
        <v>23</v>
      </c>
      <c r="E983">
        <v>21</v>
      </c>
      <c r="F983" t="s">
        <v>22</v>
      </c>
      <c r="G983">
        <v>2</v>
      </c>
      <c r="H983" t="s">
        <v>228</v>
      </c>
      <c r="I983" t="s">
        <v>44</v>
      </c>
      <c r="J983" t="s">
        <v>95</v>
      </c>
      <c r="N983" t="b">
        <v>1</v>
      </c>
      <c r="O983" t="s">
        <v>54</v>
      </c>
      <c r="P983" t="s">
        <v>100</v>
      </c>
      <c r="Q983" t="s">
        <v>72</v>
      </c>
      <c r="R983" t="s">
        <v>27</v>
      </c>
      <c r="S983" s="1">
        <v>0.83263888888888893</v>
      </c>
      <c r="T983" s="1">
        <v>0.86319444444444449</v>
      </c>
      <c r="U983">
        <v>44</v>
      </c>
      <c r="V983" t="b">
        <v>0</v>
      </c>
      <c r="W983" t="s">
        <v>21</v>
      </c>
      <c r="Z983" t="b">
        <v>1</v>
      </c>
      <c r="AA983" t="s">
        <v>29</v>
      </c>
      <c r="AB983" t="b">
        <v>0</v>
      </c>
      <c r="AD983" s="2"/>
    </row>
    <row r="984" spans="1:30" x14ac:dyDescent="0.25">
      <c r="A984">
        <v>983</v>
      </c>
      <c r="B984" t="s">
        <v>25</v>
      </c>
      <c r="C984" s="3">
        <v>32204</v>
      </c>
      <c r="D984" s="2">
        <f ca="1">DATEDIF(gym_membership[[#This Row],[birthday]],TODAY(),"y")</f>
        <v>38</v>
      </c>
      <c r="E984">
        <v>36</v>
      </c>
      <c r="F984" t="s">
        <v>18</v>
      </c>
      <c r="G984">
        <v>4</v>
      </c>
      <c r="H984" t="s">
        <v>209</v>
      </c>
      <c r="I984" t="s">
        <v>44</v>
      </c>
      <c r="J984" t="s">
        <v>34</v>
      </c>
      <c r="K984" t="s">
        <v>57</v>
      </c>
      <c r="L984" t="s">
        <v>77</v>
      </c>
      <c r="N984" t="b">
        <v>1</v>
      </c>
      <c r="O984" t="s">
        <v>58</v>
      </c>
      <c r="P984" t="s">
        <v>58</v>
      </c>
      <c r="S984" s="1">
        <v>0.80694444444444446</v>
      </c>
      <c r="T984" s="1">
        <v>0.92569444444444449</v>
      </c>
      <c r="U984">
        <v>171</v>
      </c>
      <c r="V984" t="b">
        <v>1</v>
      </c>
      <c r="W984" t="s">
        <v>76</v>
      </c>
      <c r="X984" t="s">
        <v>76</v>
      </c>
      <c r="Z984" t="b">
        <v>1</v>
      </c>
      <c r="AA984" t="s">
        <v>29</v>
      </c>
      <c r="AB984" t="b">
        <v>0</v>
      </c>
      <c r="AD984" s="2"/>
    </row>
    <row r="985" spans="1:30" x14ac:dyDescent="0.25">
      <c r="A985">
        <v>984</v>
      </c>
      <c r="B985" t="s">
        <v>25</v>
      </c>
      <c r="C985" s="3">
        <v>32053</v>
      </c>
      <c r="D985" s="2">
        <f ca="1">DATEDIF(gym_membership[[#This Row],[birthday]],TODAY(),"y")</f>
        <v>38</v>
      </c>
      <c r="E985">
        <v>37</v>
      </c>
      <c r="F985" t="s">
        <v>22</v>
      </c>
      <c r="G985">
        <v>1</v>
      </c>
      <c r="H985" t="s">
        <v>44</v>
      </c>
      <c r="I985" t="s">
        <v>44</v>
      </c>
      <c r="N985" t="b">
        <v>1</v>
      </c>
      <c r="O985" t="s">
        <v>426</v>
      </c>
      <c r="P985" t="s">
        <v>91</v>
      </c>
      <c r="Q985" t="s">
        <v>72</v>
      </c>
      <c r="S985" s="1">
        <v>0.6694444444444444</v>
      </c>
      <c r="T985" s="1">
        <v>0.76111111111111107</v>
      </c>
      <c r="U985">
        <v>132</v>
      </c>
      <c r="V985" t="b">
        <v>1</v>
      </c>
      <c r="W985" t="s">
        <v>51</v>
      </c>
      <c r="X985" t="s">
        <v>51</v>
      </c>
      <c r="Z985" t="b">
        <v>1</v>
      </c>
      <c r="AA985" t="s">
        <v>29</v>
      </c>
      <c r="AB985" t="b">
        <v>1</v>
      </c>
      <c r="AD985" s="2"/>
    </row>
    <row r="986" spans="1:30" x14ac:dyDescent="0.25">
      <c r="A986">
        <v>985</v>
      </c>
      <c r="B986" t="s">
        <v>17</v>
      </c>
      <c r="C986" s="3">
        <v>27679</v>
      </c>
      <c r="D986" s="2">
        <f ca="1">DATEDIF(gym_membership[[#This Row],[birthday]],TODAY(),"y")</f>
        <v>50</v>
      </c>
      <c r="E986">
        <v>49</v>
      </c>
      <c r="F986" t="s">
        <v>18</v>
      </c>
      <c r="G986">
        <v>1</v>
      </c>
      <c r="H986" t="s">
        <v>44</v>
      </c>
      <c r="I986" t="s">
        <v>44</v>
      </c>
      <c r="N986" t="b">
        <v>1</v>
      </c>
      <c r="O986" t="s">
        <v>427</v>
      </c>
      <c r="P986" t="s">
        <v>58</v>
      </c>
      <c r="Q986" t="s">
        <v>120</v>
      </c>
      <c r="R986" t="s">
        <v>96</v>
      </c>
      <c r="S986" s="1">
        <v>0.63680555555555551</v>
      </c>
      <c r="T986" s="1">
        <v>0.70833333333333337</v>
      </c>
      <c r="U986">
        <v>103</v>
      </c>
      <c r="V986" t="b">
        <v>1</v>
      </c>
      <c r="W986" t="s">
        <v>39</v>
      </c>
      <c r="X986" t="s">
        <v>39</v>
      </c>
      <c r="Z986" t="b">
        <v>0</v>
      </c>
      <c r="AA986" t="s">
        <v>456</v>
      </c>
      <c r="AB986" t="b">
        <v>0</v>
      </c>
      <c r="AD986" s="2"/>
    </row>
    <row r="987" spans="1:30" x14ac:dyDescent="0.25">
      <c r="A987">
        <v>986</v>
      </c>
      <c r="B987" t="s">
        <v>25</v>
      </c>
      <c r="C987" s="3">
        <v>29936</v>
      </c>
      <c r="D987" s="2">
        <f ca="1">DATEDIF(gym_membership[[#This Row],[birthday]],TODAY(),"y")</f>
        <v>44</v>
      </c>
      <c r="E987">
        <v>42</v>
      </c>
      <c r="F987" t="s">
        <v>22</v>
      </c>
      <c r="G987">
        <v>1</v>
      </c>
      <c r="H987" t="s">
        <v>34</v>
      </c>
      <c r="I987" t="s">
        <v>34</v>
      </c>
      <c r="N987" t="b">
        <v>1</v>
      </c>
      <c r="O987" t="s">
        <v>67</v>
      </c>
      <c r="P987" t="s">
        <v>67</v>
      </c>
      <c r="S987" s="1">
        <v>0.58680555555555558</v>
      </c>
      <c r="T987" s="1">
        <v>0.65138888888888891</v>
      </c>
      <c r="U987">
        <v>93</v>
      </c>
      <c r="V987" t="b">
        <v>1</v>
      </c>
      <c r="W987" t="s">
        <v>163</v>
      </c>
      <c r="X987" t="s">
        <v>65</v>
      </c>
      <c r="Y987" t="s">
        <v>51</v>
      </c>
      <c r="Z987" t="b">
        <v>1</v>
      </c>
      <c r="AA987" t="s">
        <v>45</v>
      </c>
      <c r="AB987" t="b">
        <v>1</v>
      </c>
      <c r="AD987" s="2"/>
    </row>
    <row r="988" spans="1:30" x14ac:dyDescent="0.25">
      <c r="A988">
        <v>987</v>
      </c>
      <c r="B988" t="s">
        <v>17</v>
      </c>
      <c r="C988" s="3">
        <v>28928</v>
      </c>
      <c r="D988" s="2">
        <f ca="1">DATEDIF(gym_membership[[#This Row],[birthday]],TODAY(),"y")</f>
        <v>47</v>
      </c>
      <c r="E988">
        <v>45</v>
      </c>
      <c r="F988" t="s">
        <v>18</v>
      </c>
      <c r="G988">
        <v>5</v>
      </c>
      <c r="H988" t="s">
        <v>248</v>
      </c>
      <c r="I988" t="s">
        <v>44</v>
      </c>
      <c r="J988" t="s">
        <v>34</v>
      </c>
      <c r="K988" t="s">
        <v>94</v>
      </c>
      <c r="L988" t="s">
        <v>95</v>
      </c>
      <c r="M988" t="s">
        <v>77</v>
      </c>
      <c r="N988" t="b">
        <v>0</v>
      </c>
      <c r="O988" t="s">
        <v>21</v>
      </c>
      <c r="S988" s="1">
        <v>0.7944444444444444</v>
      </c>
      <c r="T988" s="1">
        <v>0.86388888888888893</v>
      </c>
      <c r="U988">
        <v>100</v>
      </c>
      <c r="V988" t="b">
        <v>1</v>
      </c>
      <c r="W988" t="s">
        <v>59</v>
      </c>
      <c r="X988" t="s">
        <v>59</v>
      </c>
      <c r="Z988" t="b">
        <v>1</v>
      </c>
      <c r="AA988" t="s">
        <v>24</v>
      </c>
      <c r="AB988" t="b">
        <v>1</v>
      </c>
      <c r="AD988" s="2"/>
    </row>
    <row r="989" spans="1:30" x14ac:dyDescent="0.25">
      <c r="A989">
        <v>988</v>
      </c>
      <c r="B989" t="s">
        <v>25</v>
      </c>
      <c r="C989" s="3">
        <v>28335</v>
      </c>
      <c r="D989" s="2">
        <f ca="1">DATEDIF(gym_membership[[#This Row],[birthday]],TODAY(),"y")</f>
        <v>49</v>
      </c>
      <c r="E989">
        <v>47</v>
      </c>
      <c r="F989" t="s">
        <v>18</v>
      </c>
      <c r="G989">
        <v>3</v>
      </c>
      <c r="H989" t="s">
        <v>93</v>
      </c>
      <c r="I989" t="s">
        <v>34</v>
      </c>
      <c r="J989" t="s">
        <v>94</v>
      </c>
      <c r="K989" t="s">
        <v>57</v>
      </c>
      <c r="N989" t="b">
        <v>0</v>
      </c>
      <c r="O989" t="s">
        <v>21</v>
      </c>
      <c r="S989" s="1">
        <v>0.45</v>
      </c>
      <c r="T989" s="1">
        <v>0.5229166666666667</v>
      </c>
      <c r="U989">
        <v>105</v>
      </c>
      <c r="V989" t="b">
        <v>1</v>
      </c>
      <c r="W989" t="s">
        <v>83</v>
      </c>
      <c r="X989" t="s">
        <v>51</v>
      </c>
      <c r="Y989" t="s">
        <v>65</v>
      </c>
      <c r="Z989" t="b">
        <v>0</v>
      </c>
      <c r="AA989" t="s">
        <v>456</v>
      </c>
      <c r="AB989" t="b">
        <v>1</v>
      </c>
      <c r="AD989" s="2"/>
    </row>
    <row r="990" spans="1:30" x14ac:dyDescent="0.25">
      <c r="A990">
        <v>989</v>
      </c>
      <c r="B990" t="s">
        <v>17</v>
      </c>
      <c r="C990" s="3">
        <v>32902</v>
      </c>
      <c r="D990" s="2">
        <f ca="1">DATEDIF(gym_membership[[#This Row],[birthday]],TODAY(),"y")</f>
        <v>36</v>
      </c>
      <c r="E990">
        <v>34</v>
      </c>
      <c r="F990" t="s">
        <v>22</v>
      </c>
      <c r="G990">
        <v>1</v>
      </c>
      <c r="H990" t="s">
        <v>94</v>
      </c>
      <c r="I990" t="s">
        <v>94</v>
      </c>
      <c r="N990" t="b">
        <v>1</v>
      </c>
      <c r="O990" t="s">
        <v>428</v>
      </c>
      <c r="P990" t="s">
        <v>91</v>
      </c>
      <c r="Q990" t="s">
        <v>72</v>
      </c>
      <c r="R990" t="s">
        <v>100</v>
      </c>
      <c r="S990" s="1">
        <v>0.38472222222222224</v>
      </c>
      <c r="T990" s="1">
        <v>0.49444444444444446</v>
      </c>
      <c r="U990">
        <v>158</v>
      </c>
      <c r="V990" t="b">
        <v>0</v>
      </c>
      <c r="W990" t="s">
        <v>21</v>
      </c>
      <c r="Z990" t="b">
        <v>1</v>
      </c>
      <c r="AA990" t="s">
        <v>24</v>
      </c>
      <c r="AB990" t="b">
        <v>0</v>
      </c>
      <c r="AD990" s="2"/>
    </row>
    <row r="991" spans="1:30" x14ac:dyDescent="0.25">
      <c r="A991">
        <v>990</v>
      </c>
      <c r="B991" t="s">
        <v>25</v>
      </c>
      <c r="C991" s="3">
        <v>35710</v>
      </c>
      <c r="D991" s="2">
        <f ca="1">DATEDIF(gym_membership[[#This Row],[birthday]],TODAY(),"y")</f>
        <v>28</v>
      </c>
      <c r="E991">
        <v>27</v>
      </c>
      <c r="F991" t="s">
        <v>18</v>
      </c>
      <c r="G991">
        <v>3</v>
      </c>
      <c r="H991" t="s">
        <v>35</v>
      </c>
      <c r="I991" t="s">
        <v>26</v>
      </c>
      <c r="J991" t="s">
        <v>95</v>
      </c>
      <c r="K991" t="s">
        <v>77</v>
      </c>
      <c r="N991" t="b">
        <v>0</v>
      </c>
      <c r="O991" t="s">
        <v>21</v>
      </c>
      <c r="S991" s="1">
        <v>0.49305555555555558</v>
      </c>
      <c r="T991" s="1">
        <v>0.53749999999999998</v>
      </c>
      <c r="U991">
        <v>64</v>
      </c>
      <c r="V991" t="b">
        <v>0</v>
      </c>
      <c r="W991" t="s">
        <v>21</v>
      </c>
      <c r="Z991" t="b">
        <v>0</v>
      </c>
      <c r="AA991" t="s">
        <v>456</v>
      </c>
      <c r="AB991" t="b">
        <v>0</v>
      </c>
      <c r="AD991" s="2"/>
    </row>
    <row r="992" spans="1:30" x14ac:dyDescent="0.25">
      <c r="A992">
        <v>991</v>
      </c>
      <c r="B992" t="s">
        <v>17</v>
      </c>
      <c r="C992" s="3">
        <v>29677</v>
      </c>
      <c r="D992" s="2">
        <f ca="1">DATEDIF(gym_membership[[#This Row],[birthday]],TODAY(),"y")</f>
        <v>45</v>
      </c>
      <c r="E992">
        <v>43</v>
      </c>
      <c r="F992" t="s">
        <v>22</v>
      </c>
      <c r="G992">
        <v>3</v>
      </c>
      <c r="H992" t="s">
        <v>109</v>
      </c>
      <c r="I992" t="s">
        <v>34</v>
      </c>
      <c r="J992" t="s">
        <v>94</v>
      </c>
      <c r="K992" t="s">
        <v>95</v>
      </c>
      <c r="N992" t="b">
        <v>0</v>
      </c>
      <c r="O992" t="s">
        <v>21</v>
      </c>
      <c r="S992" s="1">
        <v>0.34861111111111109</v>
      </c>
      <c r="T992" s="1">
        <v>0.44444444444444442</v>
      </c>
      <c r="U992">
        <v>138</v>
      </c>
      <c r="V992" t="b">
        <v>0</v>
      </c>
      <c r="W992" t="s">
        <v>21</v>
      </c>
      <c r="Z992" t="b">
        <v>1</v>
      </c>
      <c r="AA992" t="s">
        <v>24</v>
      </c>
      <c r="AB992" t="b">
        <v>0</v>
      </c>
      <c r="AD992" s="2"/>
    </row>
    <row r="993" spans="1:30" x14ac:dyDescent="0.25">
      <c r="A993">
        <v>992</v>
      </c>
      <c r="B993" t="s">
        <v>25</v>
      </c>
      <c r="C993" s="3">
        <v>33462</v>
      </c>
      <c r="D993" s="2">
        <f ca="1">DATEDIF(gym_membership[[#This Row],[birthday]],TODAY(),"y")</f>
        <v>35</v>
      </c>
      <c r="E993">
        <v>33</v>
      </c>
      <c r="F993" t="s">
        <v>18</v>
      </c>
      <c r="G993">
        <v>3</v>
      </c>
      <c r="H993" t="s">
        <v>142</v>
      </c>
      <c r="I993" t="s">
        <v>44</v>
      </c>
      <c r="J993" t="s">
        <v>26</v>
      </c>
      <c r="K993" t="s">
        <v>57</v>
      </c>
      <c r="N993" t="b">
        <v>1</v>
      </c>
      <c r="O993" t="s">
        <v>120</v>
      </c>
      <c r="P993" t="s">
        <v>120</v>
      </c>
      <c r="S993" s="1">
        <v>0.43333333333333335</v>
      </c>
      <c r="T993" s="1">
        <v>0.53333333333333333</v>
      </c>
      <c r="U993">
        <v>144</v>
      </c>
      <c r="V993" t="b">
        <v>0</v>
      </c>
      <c r="W993" t="s">
        <v>21</v>
      </c>
      <c r="Z993" t="b">
        <v>1</v>
      </c>
      <c r="AA993" t="s">
        <v>24</v>
      </c>
      <c r="AB993" t="b">
        <v>0</v>
      </c>
      <c r="AD993" s="2"/>
    </row>
    <row r="994" spans="1:30" x14ac:dyDescent="0.25">
      <c r="A994">
        <v>993</v>
      </c>
      <c r="B994" t="s">
        <v>17</v>
      </c>
      <c r="C994" s="3">
        <v>31322</v>
      </c>
      <c r="D994" s="2">
        <f ca="1">DATEDIF(gym_membership[[#This Row],[birthday]],TODAY(),"y")</f>
        <v>40</v>
      </c>
      <c r="E994">
        <v>39</v>
      </c>
      <c r="F994" t="s">
        <v>22</v>
      </c>
      <c r="G994">
        <v>5</v>
      </c>
      <c r="H994" t="s">
        <v>301</v>
      </c>
      <c r="I994" t="s">
        <v>34</v>
      </c>
      <c r="J994" t="s">
        <v>26</v>
      </c>
      <c r="K994" t="s">
        <v>94</v>
      </c>
      <c r="L994" t="s">
        <v>57</v>
      </c>
      <c r="M994" t="s">
        <v>77</v>
      </c>
      <c r="N994" t="b">
        <v>1</v>
      </c>
      <c r="O994" t="s">
        <v>166</v>
      </c>
      <c r="P994" t="s">
        <v>128</v>
      </c>
      <c r="Q994" t="s">
        <v>96</v>
      </c>
      <c r="S994" s="1">
        <v>0.40416666666666667</v>
      </c>
      <c r="T994" s="1">
        <v>0.51597222222222228</v>
      </c>
      <c r="U994">
        <v>161</v>
      </c>
      <c r="V994" t="b">
        <v>1</v>
      </c>
      <c r="W994" t="s">
        <v>65</v>
      </c>
      <c r="X994" t="s">
        <v>65</v>
      </c>
      <c r="Z994" t="b">
        <v>1</v>
      </c>
      <c r="AA994" t="s">
        <v>24</v>
      </c>
      <c r="AB994" t="b">
        <v>0</v>
      </c>
      <c r="AD994" s="2"/>
    </row>
    <row r="995" spans="1:30" x14ac:dyDescent="0.25">
      <c r="A995">
        <v>994</v>
      </c>
      <c r="B995" t="s">
        <v>25</v>
      </c>
      <c r="C995" s="3">
        <v>39111</v>
      </c>
      <c r="D995" s="2">
        <f ca="1">DATEDIF(gym_membership[[#This Row],[birthday]],TODAY(),"y")</f>
        <v>19</v>
      </c>
      <c r="E995">
        <v>17</v>
      </c>
      <c r="F995" t="s">
        <v>22</v>
      </c>
      <c r="G995">
        <v>4</v>
      </c>
      <c r="H995" t="s">
        <v>329</v>
      </c>
      <c r="I995" t="s">
        <v>34</v>
      </c>
      <c r="J995" t="s">
        <v>94</v>
      </c>
      <c r="K995" t="s">
        <v>95</v>
      </c>
      <c r="L995" t="s">
        <v>57</v>
      </c>
      <c r="N995" t="b">
        <v>1</v>
      </c>
      <c r="O995" t="s">
        <v>36</v>
      </c>
      <c r="P995" t="s">
        <v>91</v>
      </c>
      <c r="Q995" t="s">
        <v>41</v>
      </c>
      <c r="S995" s="1">
        <v>0.82638888888888884</v>
      </c>
      <c r="T995" s="1">
        <v>0.94652777777777775</v>
      </c>
      <c r="U995">
        <v>173</v>
      </c>
      <c r="V995" t="b">
        <v>1</v>
      </c>
      <c r="W995" t="s">
        <v>97</v>
      </c>
      <c r="X995" t="s">
        <v>39</v>
      </c>
      <c r="Y995" t="s">
        <v>31</v>
      </c>
      <c r="Z995" t="b">
        <v>1</v>
      </c>
      <c r="AA995" t="s">
        <v>45</v>
      </c>
      <c r="AB995" t="b">
        <v>0</v>
      </c>
      <c r="AD995" s="2"/>
    </row>
    <row r="996" spans="1:30" x14ac:dyDescent="0.25">
      <c r="A996">
        <v>995</v>
      </c>
      <c r="B996" t="s">
        <v>17</v>
      </c>
      <c r="C996" s="3">
        <v>32225</v>
      </c>
      <c r="D996" s="2">
        <f ca="1">DATEDIF(gym_membership[[#This Row],[birthday]],TODAY(),"y")</f>
        <v>38</v>
      </c>
      <c r="E996">
        <v>36</v>
      </c>
      <c r="F996" t="s">
        <v>22</v>
      </c>
      <c r="G996">
        <v>2</v>
      </c>
      <c r="H996" t="s">
        <v>66</v>
      </c>
      <c r="I996" t="s">
        <v>34</v>
      </c>
      <c r="J996" t="s">
        <v>57</v>
      </c>
      <c r="N996" t="b">
        <v>0</v>
      </c>
      <c r="O996" t="s">
        <v>21</v>
      </c>
      <c r="S996" s="1">
        <v>0.42777777777777776</v>
      </c>
      <c r="T996" s="1">
        <v>0.54652777777777772</v>
      </c>
      <c r="U996">
        <v>171</v>
      </c>
      <c r="V996" t="b">
        <v>1</v>
      </c>
      <c r="W996" t="s">
        <v>207</v>
      </c>
      <c r="X996" t="s">
        <v>76</v>
      </c>
      <c r="Y996" t="s">
        <v>51</v>
      </c>
      <c r="Z996" t="b">
        <v>0</v>
      </c>
      <c r="AA996" t="s">
        <v>456</v>
      </c>
      <c r="AB996" t="b">
        <v>1</v>
      </c>
      <c r="AD996" s="2"/>
    </row>
    <row r="997" spans="1:30" x14ac:dyDescent="0.25">
      <c r="A997">
        <v>996</v>
      </c>
      <c r="B997" t="s">
        <v>17</v>
      </c>
      <c r="C997" s="3">
        <v>30947</v>
      </c>
      <c r="D997" s="2">
        <f ca="1">DATEDIF(gym_membership[[#This Row],[birthday]],TODAY(),"y")</f>
        <v>41</v>
      </c>
      <c r="E997">
        <v>40</v>
      </c>
      <c r="F997" t="s">
        <v>22</v>
      </c>
      <c r="G997">
        <v>3</v>
      </c>
      <c r="H997" t="s">
        <v>299</v>
      </c>
      <c r="I997" t="s">
        <v>95</v>
      </c>
      <c r="J997" t="s">
        <v>57</v>
      </c>
      <c r="K997" t="s">
        <v>77</v>
      </c>
      <c r="N997" t="b">
        <v>0</v>
      </c>
      <c r="O997" t="s">
        <v>21</v>
      </c>
      <c r="S997" s="1">
        <v>0.87222222222222223</v>
      </c>
      <c r="T997" s="1">
        <v>0.9458333333333333</v>
      </c>
      <c r="U997">
        <v>106</v>
      </c>
      <c r="V997" t="b">
        <v>0</v>
      </c>
      <c r="W997" t="s">
        <v>21</v>
      </c>
      <c r="Z997" t="b">
        <v>0</v>
      </c>
      <c r="AA997" t="s">
        <v>456</v>
      </c>
      <c r="AB997" t="b">
        <v>0</v>
      </c>
      <c r="AD997" s="2"/>
    </row>
    <row r="998" spans="1:30" x14ac:dyDescent="0.25">
      <c r="A998">
        <v>997</v>
      </c>
      <c r="B998" t="s">
        <v>17</v>
      </c>
      <c r="C998" s="3">
        <v>39771</v>
      </c>
      <c r="D998" s="2">
        <f ca="1">DATEDIF(gym_membership[[#This Row],[birthday]],TODAY(),"y")</f>
        <v>17</v>
      </c>
      <c r="E998">
        <v>15</v>
      </c>
      <c r="F998" t="s">
        <v>22</v>
      </c>
      <c r="G998">
        <v>3</v>
      </c>
      <c r="H998" t="s">
        <v>150</v>
      </c>
      <c r="I998" t="s">
        <v>44</v>
      </c>
      <c r="J998" t="s">
        <v>34</v>
      </c>
      <c r="K998" t="s">
        <v>94</v>
      </c>
      <c r="N998" t="b">
        <v>1</v>
      </c>
      <c r="O998" t="s">
        <v>121</v>
      </c>
      <c r="P998" t="s">
        <v>27</v>
      </c>
      <c r="Q998" t="s">
        <v>72</v>
      </c>
      <c r="S998" s="1">
        <v>0.38472222222222224</v>
      </c>
      <c r="T998" s="1">
        <v>0.4777777777777778</v>
      </c>
      <c r="U998">
        <v>134</v>
      </c>
      <c r="V998" t="b">
        <v>1</v>
      </c>
      <c r="W998" t="s">
        <v>42</v>
      </c>
      <c r="X998" t="s">
        <v>59</v>
      </c>
      <c r="Y998" t="s">
        <v>65</v>
      </c>
      <c r="Z998" t="b">
        <v>0</v>
      </c>
      <c r="AA998" t="s">
        <v>456</v>
      </c>
      <c r="AB998" t="b">
        <v>1</v>
      </c>
      <c r="AD998" s="2"/>
    </row>
    <row r="999" spans="1:30" x14ac:dyDescent="0.25">
      <c r="A999">
        <v>998</v>
      </c>
      <c r="B999" t="s">
        <v>25</v>
      </c>
      <c r="C999" s="3">
        <v>30960</v>
      </c>
      <c r="D999" s="2">
        <f ca="1">DATEDIF(gym_membership[[#This Row],[birthday]],TODAY(),"y")</f>
        <v>41</v>
      </c>
      <c r="E999">
        <v>40</v>
      </c>
      <c r="F999" t="s">
        <v>22</v>
      </c>
      <c r="G999">
        <v>2</v>
      </c>
      <c r="H999" t="s">
        <v>119</v>
      </c>
      <c r="I999" t="s">
        <v>44</v>
      </c>
      <c r="J999" t="s">
        <v>57</v>
      </c>
      <c r="N999" t="b">
        <v>0</v>
      </c>
      <c r="O999" t="s">
        <v>21</v>
      </c>
      <c r="S999" s="1">
        <v>0.72291666666666665</v>
      </c>
      <c r="T999" s="1">
        <v>0.82847222222222228</v>
      </c>
      <c r="U999">
        <v>152</v>
      </c>
      <c r="V999" t="b">
        <v>1</v>
      </c>
      <c r="W999" t="s">
        <v>204</v>
      </c>
      <c r="X999" t="s">
        <v>39</v>
      </c>
      <c r="Y999" t="s">
        <v>51</v>
      </c>
      <c r="Z999" t="b">
        <v>1</v>
      </c>
      <c r="AA999" t="s">
        <v>43</v>
      </c>
      <c r="AB999" t="b">
        <v>1</v>
      </c>
      <c r="AD999" s="2"/>
    </row>
    <row r="1000" spans="1:30" x14ac:dyDescent="0.25">
      <c r="A1000">
        <v>999</v>
      </c>
      <c r="B1000" t="s">
        <v>25</v>
      </c>
      <c r="C1000" s="3">
        <v>36944</v>
      </c>
      <c r="D1000" s="2">
        <f ca="1">DATEDIF(gym_membership[[#This Row],[birthday]],TODAY(),"y")</f>
        <v>25</v>
      </c>
      <c r="E1000">
        <v>23</v>
      </c>
      <c r="F1000" t="s">
        <v>22</v>
      </c>
      <c r="G1000">
        <v>4</v>
      </c>
      <c r="H1000" t="s">
        <v>329</v>
      </c>
      <c r="I1000" t="s">
        <v>34</v>
      </c>
      <c r="J1000" t="s">
        <v>94</v>
      </c>
      <c r="K1000" t="s">
        <v>95</v>
      </c>
      <c r="L1000" t="s">
        <v>57</v>
      </c>
      <c r="N1000" t="b">
        <v>1</v>
      </c>
      <c r="O1000" t="s">
        <v>429</v>
      </c>
      <c r="P1000" t="s">
        <v>67</v>
      </c>
      <c r="Q1000" t="s">
        <v>27</v>
      </c>
      <c r="S1000" s="1">
        <v>0.43263888888888891</v>
      </c>
      <c r="T1000" s="1">
        <v>0.52013888888888893</v>
      </c>
      <c r="U1000">
        <v>126</v>
      </c>
      <c r="V1000" t="b">
        <v>1</v>
      </c>
      <c r="W1000" t="s">
        <v>76</v>
      </c>
      <c r="X1000" t="s">
        <v>76</v>
      </c>
      <c r="Z1000" t="b">
        <v>1</v>
      </c>
      <c r="AA1000" t="s">
        <v>43</v>
      </c>
      <c r="AB1000" t="b">
        <v>0</v>
      </c>
      <c r="AD1000" s="2"/>
    </row>
    <row r="1001" spans="1:30" x14ac:dyDescent="0.25">
      <c r="A1001">
        <v>1000</v>
      </c>
      <c r="B1001" t="s">
        <v>17</v>
      </c>
      <c r="C1001" s="3">
        <v>38844</v>
      </c>
      <c r="D1001" s="2">
        <f ca="1">DATEDIF(gym_membership[[#This Row],[birthday]],TODAY(),"y")</f>
        <v>20</v>
      </c>
      <c r="E1001">
        <v>18</v>
      </c>
      <c r="F1001" t="s">
        <v>18</v>
      </c>
      <c r="G1001">
        <v>2</v>
      </c>
      <c r="H1001" t="s">
        <v>235</v>
      </c>
      <c r="I1001" t="s">
        <v>95</v>
      </c>
      <c r="J1001" t="s">
        <v>57</v>
      </c>
      <c r="N1001" t="b">
        <v>0</v>
      </c>
      <c r="O1001" t="s">
        <v>21</v>
      </c>
      <c r="S1001" s="1">
        <v>0.69513888888888886</v>
      </c>
      <c r="T1001" s="1">
        <v>0.79166666666666663</v>
      </c>
      <c r="U1001">
        <v>139</v>
      </c>
      <c r="V1001" t="b">
        <v>1</v>
      </c>
      <c r="W1001" t="s">
        <v>124</v>
      </c>
      <c r="X1001" t="s">
        <v>31</v>
      </c>
      <c r="Y1001" t="s">
        <v>39</v>
      </c>
      <c r="Z1001" t="b">
        <v>0</v>
      </c>
      <c r="AA1001" t="s">
        <v>456</v>
      </c>
      <c r="AB1001" t="b">
        <v>0</v>
      </c>
      <c r="AD1001" s="2"/>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4D4A-7F35-4492-B4CA-29E1556C2316}">
  <dimension ref="A2:I39"/>
  <sheetViews>
    <sheetView workbookViewId="0">
      <selection activeCell="A29" sqref="A29"/>
    </sheetView>
  </sheetViews>
  <sheetFormatPr defaultRowHeight="15" x14ac:dyDescent="0.25"/>
  <cols>
    <col min="1" max="1" width="13.42578125" customWidth="1"/>
    <col min="2" max="2" width="18" customWidth="1"/>
    <col min="3" max="3" width="4.85546875" bestFit="1" customWidth="1"/>
    <col min="4" max="4" width="4.28515625" bestFit="1" customWidth="1"/>
    <col min="5" max="5" width="5.140625" bestFit="1" customWidth="1"/>
    <col min="6" max="6" width="4.28515625" bestFit="1" customWidth="1"/>
    <col min="7" max="7" width="3.85546875" bestFit="1" customWidth="1"/>
    <col min="8" max="8" width="13.7109375" bestFit="1" customWidth="1"/>
    <col min="9" max="9" width="14.42578125" bestFit="1" customWidth="1"/>
    <col min="10" max="13" width="4" bestFit="1" customWidth="1"/>
    <col min="14" max="14" width="11.28515625" bestFit="1" customWidth="1"/>
  </cols>
  <sheetData>
    <row r="2" spans="1:9" x14ac:dyDescent="0.25">
      <c r="I2" s="5"/>
    </row>
    <row r="11" spans="1:9" x14ac:dyDescent="0.25">
      <c r="A11" t="s">
        <v>439</v>
      </c>
      <c r="B11" t="s">
        <v>440</v>
      </c>
    </row>
    <row r="12" spans="1:9" x14ac:dyDescent="0.25">
      <c r="A12" t="s">
        <v>34</v>
      </c>
      <c r="B12">
        <f>COUNTIF(gym_membership[[Day 1]:[Day 5]],Sheet1!A12)</f>
        <v>349</v>
      </c>
    </row>
    <row r="13" spans="1:9" x14ac:dyDescent="0.25">
      <c r="A13" t="s">
        <v>57</v>
      </c>
      <c r="B13">
        <f>COUNTIF(gym_membership[[Day 1]:[Day 5]],Sheet1!A13)</f>
        <v>391</v>
      </c>
    </row>
    <row r="14" spans="1:9" x14ac:dyDescent="0.25">
      <c r="A14" t="s">
        <v>77</v>
      </c>
      <c r="B14">
        <f>COUNTIF(gym_membership[[Day 1]:[Day 5]],Sheet1!A14)</f>
        <v>400</v>
      </c>
    </row>
    <row r="15" spans="1:9" x14ac:dyDescent="0.25">
      <c r="A15" t="s">
        <v>95</v>
      </c>
      <c r="B15">
        <f>COUNTIF(gym_membership[[Day 1]:[Day 5]],Sheet1!A15)</f>
        <v>379</v>
      </c>
    </row>
    <row r="16" spans="1:9" x14ac:dyDescent="0.25">
      <c r="A16" t="s">
        <v>44</v>
      </c>
      <c r="B16">
        <f>COUNTIF(gym_membership[[Day 1]:[Day 5]],Sheet1!A16)</f>
        <v>376</v>
      </c>
    </row>
    <row r="17" spans="1:2" x14ac:dyDescent="0.25">
      <c r="A17" t="s">
        <v>26</v>
      </c>
      <c r="B17">
        <f>COUNTIF(gym_membership[[Day 1]:[Day 5]],Sheet1!A17)</f>
        <v>380</v>
      </c>
    </row>
    <row r="18" spans="1:2" x14ac:dyDescent="0.25">
      <c r="A18" t="s">
        <v>94</v>
      </c>
      <c r="B18">
        <f>COUNTIF(gym_membership[[Day 1]:[Day 5]],Sheet1!A18)</f>
        <v>407</v>
      </c>
    </row>
    <row r="28" spans="1:2" x14ac:dyDescent="0.25">
      <c r="A28" t="s">
        <v>444</v>
      </c>
      <c r="B28" t="s">
        <v>445</v>
      </c>
    </row>
    <row r="29" spans="1:2" x14ac:dyDescent="0.25">
      <c r="A29" t="str" cm="1">
        <f t="array" ref="A29:A39">_xlfn.UNIQUE(_xlfn._xlws.FILTER(_xlfn.VSTACK(gym_membership[fav_group_lesson1],gym_membership[fav_group_lesson2],gym_membership[fav_group_lesson3]),_xlfn.VSTACK(gym_membership[fav_group_lesson1],gym_membership[fav_group_lesson2],gym_membership[fav_group_lesson3])&lt;&gt;0))</f>
        <v>Kickboxen</v>
      </c>
      <c r="B29">
        <f>COUNTIF(gym_membership[[fav_group_lesson1]:[fav_group_lesson3]],Sheet1!A29)</f>
        <v>85</v>
      </c>
    </row>
    <row r="30" spans="1:2" x14ac:dyDescent="0.25">
      <c r="A30" t="str">
        <v>XCore</v>
      </c>
      <c r="B30">
        <f>COUNTIF(gym_membership[[fav_group_lesson1]:[fav_group_lesson3]],Sheet1!A30)</f>
        <v>90</v>
      </c>
    </row>
    <row r="31" spans="1:2" x14ac:dyDescent="0.25">
      <c r="A31" t="str">
        <v>Running</v>
      </c>
      <c r="B31">
        <f>COUNTIF(gym_membership[[fav_group_lesson1]:[fav_group_lesson3]],Sheet1!A31)</f>
        <v>82</v>
      </c>
    </row>
    <row r="32" spans="1:2" x14ac:dyDescent="0.25">
      <c r="A32" t="str">
        <v>LesMiles</v>
      </c>
      <c r="B32">
        <f>COUNTIF(gym_membership[[fav_group_lesson1]:[fav_group_lesson3]],Sheet1!A32)</f>
        <v>99</v>
      </c>
    </row>
    <row r="33" spans="1:2" x14ac:dyDescent="0.25">
      <c r="A33" t="str">
        <v>Yoga</v>
      </c>
      <c r="B33">
        <f>COUNTIF(gym_membership[[fav_group_lesson1]:[fav_group_lesson3]],Sheet1!A33)</f>
        <v>90</v>
      </c>
    </row>
    <row r="34" spans="1:2" x14ac:dyDescent="0.25">
      <c r="A34" t="str">
        <v>BodyPump</v>
      </c>
      <c r="B34">
        <f>COUNTIF(gym_membership[[fav_group_lesson1]:[fav_group_lesson3]],Sheet1!A34)</f>
        <v>112</v>
      </c>
    </row>
    <row r="35" spans="1:2" x14ac:dyDescent="0.25">
      <c r="A35" t="str">
        <v>Pilates</v>
      </c>
      <c r="B35">
        <f>COUNTIF(gym_membership[[fav_group_lesson1]:[fav_group_lesson3]],Sheet1!A35)</f>
        <v>95</v>
      </c>
    </row>
    <row r="36" spans="1:2" x14ac:dyDescent="0.25">
      <c r="A36" t="str">
        <v>Spinning</v>
      </c>
      <c r="B36">
        <f>COUNTIF(gym_membership[[fav_group_lesson1]:[fav_group_lesson3]],Sheet1!A36)</f>
        <v>85</v>
      </c>
    </row>
    <row r="37" spans="1:2" x14ac:dyDescent="0.25">
      <c r="A37" t="str">
        <v>HIT</v>
      </c>
      <c r="B37">
        <f>COUNTIF(gym_membership[[fav_group_lesson1]:[fav_group_lesson3]],Sheet1!A37)</f>
        <v>97</v>
      </c>
    </row>
    <row r="38" spans="1:2" x14ac:dyDescent="0.25">
      <c r="A38" t="str">
        <v>BodyBalance</v>
      </c>
      <c r="B38">
        <f>COUNTIF(gym_membership[[fav_group_lesson1]:[fav_group_lesson3]],Sheet1!A38)</f>
        <v>87</v>
      </c>
    </row>
    <row r="39" spans="1:2" x14ac:dyDescent="0.25">
      <c r="A39" t="str">
        <v>Zumba</v>
      </c>
      <c r="B39">
        <f>COUNTIF(gym_membership[[fav_group_lesson1]:[fav_group_lesson3]],Sheet1!A39)</f>
        <v>81</v>
      </c>
    </row>
  </sheetData>
  <phoneticPr fontId="1"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6CF06-A567-4937-B149-C47B70E186B6}">
  <dimension ref="A6:B72"/>
  <sheetViews>
    <sheetView workbookViewId="0">
      <selection activeCell="B13" sqref="B13"/>
    </sheetView>
  </sheetViews>
  <sheetFormatPr defaultRowHeight="15" x14ac:dyDescent="0.25"/>
  <cols>
    <col min="1" max="1" width="11.28515625" bestFit="1" customWidth="1"/>
    <col min="2" max="2" width="16" bestFit="1" customWidth="1"/>
    <col min="3" max="3" width="11.28515625" bestFit="1" customWidth="1"/>
  </cols>
  <sheetData>
    <row r="6" spans="1:2" x14ac:dyDescent="0.25">
      <c r="A6" t="s">
        <v>448</v>
      </c>
      <c r="B6" t="s">
        <v>449</v>
      </c>
    </row>
    <row r="7" spans="1:2" x14ac:dyDescent="0.25">
      <c r="A7" t="str" cm="1">
        <f t="array" ref="A7:A12">_xlfn.UNIQUE(_xlfn._xlws.FILTER(_xlfn.VSTACK(gym_membership[fav_drink1],gym_membership[fav_drink2]),_xlfn.VSTACK(gym_membership[fav_drink1],gym_membership[fav_drink2])&lt;&gt;0))</f>
        <v>berry_boost</v>
      </c>
      <c r="B7">
        <f>COUNTIF(gym_membership[[fav_drink1]:[fav_drink2]],Sheet2!A7)</f>
        <v>114</v>
      </c>
    </row>
    <row r="8" spans="1:2" x14ac:dyDescent="0.25">
      <c r="A8" t="str">
        <v>passion_fruit</v>
      </c>
      <c r="B8">
        <f>COUNTIF(gym_membership[[fav_drink1]:[fav_drink2]],Sheet2!A8)</f>
        <v>119</v>
      </c>
    </row>
    <row r="9" spans="1:2" x14ac:dyDescent="0.25">
      <c r="A9" t="str">
        <v>coconut_pineapple</v>
      </c>
      <c r="B9">
        <f>COUNTIF(gym_membership[[fav_drink1]:[fav_drink2]],Sheet2!A9)</f>
        <v>134</v>
      </c>
    </row>
    <row r="10" spans="1:2" x14ac:dyDescent="0.25">
      <c r="A10" t="str">
        <v>orange</v>
      </c>
      <c r="B10">
        <f>COUNTIF(gym_membership[[fav_drink1]:[fav_drink2]],Sheet2!A10)</f>
        <v>126</v>
      </c>
    </row>
    <row r="11" spans="1:2" x14ac:dyDescent="0.25">
      <c r="A11" t="str">
        <v>black_currant</v>
      </c>
      <c r="B11">
        <f>COUNTIF(gym_membership[[fav_drink1]:[fav_drink2]],Sheet2!A11)</f>
        <v>111</v>
      </c>
    </row>
    <row r="12" spans="1:2" x14ac:dyDescent="0.25">
      <c r="A12" t="str">
        <v>lemon</v>
      </c>
      <c r="B12">
        <f>COUNTIF(gym_membership[[fav_drink1]:[fav_drink2]],Sheet2!A12)</f>
        <v>115</v>
      </c>
    </row>
    <row r="20" spans="1:2" x14ac:dyDescent="0.25">
      <c r="A20" s="4" t="s">
        <v>451</v>
      </c>
      <c r="B20" t="s">
        <v>449</v>
      </c>
    </row>
    <row r="21" spans="1:2" x14ac:dyDescent="0.25">
      <c r="A21" s="5" t="s">
        <v>17</v>
      </c>
      <c r="B21">
        <v>503</v>
      </c>
    </row>
    <row r="22" spans="1:2" x14ac:dyDescent="0.25">
      <c r="A22" s="5" t="s">
        <v>25</v>
      </c>
      <c r="B22">
        <v>497</v>
      </c>
    </row>
    <row r="23" spans="1:2" x14ac:dyDescent="0.25">
      <c r="A23" s="5" t="s">
        <v>437</v>
      </c>
      <c r="B23">
        <v>1000</v>
      </c>
    </row>
    <row r="32" spans="1:2" x14ac:dyDescent="0.25">
      <c r="A32" s="4" t="s">
        <v>3</v>
      </c>
      <c r="B32" t="s">
        <v>449</v>
      </c>
    </row>
    <row r="33" spans="1:2" x14ac:dyDescent="0.25">
      <c r="A33" s="6">
        <v>13</v>
      </c>
      <c r="B33">
        <v>5</v>
      </c>
    </row>
    <row r="34" spans="1:2" x14ac:dyDescent="0.25">
      <c r="A34" s="6">
        <v>14</v>
      </c>
      <c r="B34">
        <v>16</v>
      </c>
    </row>
    <row r="35" spans="1:2" x14ac:dyDescent="0.25">
      <c r="A35" s="6">
        <v>15</v>
      </c>
      <c r="B35">
        <v>26</v>
      </c>
    </row>
    <row r="36" spans="1:2" x14ac:dyDescent="0.25">
      <c r="A36" s="6">
        <v>16</v>
      </c>
      <c r="B36">
        <v>30</v>
      </c>
    </row>
    <row r="37" spans="1:2" x14ac:dyDescent="0.25">
      <c r="A37" s="6">
        <v>17</v>
      </c>
      <c r="B37">
        <v>21</v>
      </c>
    </row>
    <row r="38" spans="1:2" x14ac:dyDescent="0.25">
      <c r="A38" s="6">
        <v>18</v>
      </c>
      <c r="B38">
        <v>23</v>
      </c>
    </row>
    <row r="39" spans="1:2" x14ac:dyDescent="0.25">
      <c r="A39" s="6">
        <v>19</v>
      </c>
      <c r="B39">
        <v>26</v>
      </c>
    </row>
    <row r="40" spans="1:2" x14ac:dyDescent="0.25">
      <c r="A40" s="6">
        <v>20</v>
      </c>
      <c r="B40">
        <v>31</v>
      </c>
    </row>
    <row r="41" spans="1:2" x14ac:dyDescent="0.25">
      <c r="A41" s="6">
        <v>21</v>
      </c>
      <c r="B41">
        <v>27</v>
      </c>
    </row>
    <row r="42" spans="1:2" x14ac:dyDescent="0.25">
      <c r="A42" s="6">
        <v>22</v>
      </c>
      <c r="B42">
        <v>25</v>
      </c>
    </row>
    <row r="43" spans="1:2" x14ac:dyDescent="0.25">
      <c r="A43" s="6">
        <v>23</v>
      </c>
      <c r="B43">
        <v>25</v>
      </c>
    </row>
    <row r="44" spans="1:2" x14ac:dyDescent="0.25">
      <c r="A44" s="6">
        <v>24</v>
      </c>
      <c r="B44">
        <v>25</v>
      </c>
    </row>
    <row r="45" spans="1:2" x14ac:dyDescent="0.25">
      <c r="A45" s="6">
        <v>25</v>
      </c>
      <c r="B45">
        <v>32</v>
      </c>
    </row>
    <row r="46" spans="1:2" x14ac:dyDescent="0.25">
      <c r="A46" s="6">
        <v>26</v>
      </c>
      <c r="B46">
        <v>29</v>
      </c>
    </row>
    <row r="47" spans="1:2" x14ac:dyDescent="0.25">
      <c r="A47" s="6">
        <v>27</v>
      </c>
      <c r="B47">
        <v>22</v>
      </c>
    </row>
    <row r="48" spans="1:2" x14ac:dyDescent="0.25">
      <c r="A48" s="6">
        <v>28</v>
      </c>
      <c r="B48">
        <v>38</v>
      </c>
    </row>
    <row r="49" spans="1:2" x14ac:dyDescent="0.25">
      <c r="A49" s="6">
        <v>29</v>
      </c>
      <c r="B49">
        <v>26</v>
      </c>
    </row>
    <row r="50" spans="1:2" x14ac:dyDescent="0.25">
      <c r="A50" s="6">
        <v>30</v>
      </c>
      <c r="B50">
        <v>22</v>
      </c>
    </row>
    <row r="51" spans="1:2" x14ac:dyDescent="0.25">
      <c r="A51" s="6">
        <v>31</v>
      </c>
      <c r="B51">
        <v>35</v>
      </c>
    </row>
    <row r="52" spans="1:2" x14ac:dyDescent="0.25">
      <c r="A52" s="6">
        <v>32</v>
      </c>
      <c r="B52">
        <v>24</v>
      </c>
    </row>
    <row r="53" spans="1:2" x14ac:dyDescent="0.25">
      <c r="A53" s="6">
        <v>33</v>
      </c>
      <c r="B53">
        <v>22</v>
      </c>
    </row>
    <row r="54" spans="1:2" x14ac:dyDescent="0.25">
      <c r="A54" s="6">
        <v>34</v>
      </c>
      <c r="B54">
        <v>20</v>
      </c>
    </row>
    <row r="55" spans="1:2" x14ac:dyDescent="0.25">
      <c r="A55" s="6">
        <v>35</v>
      </c>
      <c r="B55">
        <v>27</v>
      </c>
    </row>
    <row r="56" spans="1:2" x14ac:dyDescent="0.25">
      <c r="A56" s="6">
        <v>36</v>
      </c>
      <c r="B56">
        <v>26</v>
      </c>
    </row>
    <row r="57" spans="1:2" x14ac:dyDescent="0.25">
      <c r="A57" s="6">
        <v>37</v>
      </c>
      <c r="B57">
        <v>29</v>
      </c>
    </row>
    <row r="58" spans="1:2" x14ac:dyDescent="0.25">
      <c r="A58" s="6">
        <v>38</v>
      </c>
      <c r="B58">
        <v>40</v>
      </c>
    </row>
    <row r="59" spans="1:2" x14ac:dyDescent="0.25">
      <c r="A59" s="6">
        <v>39</v>
      </c>
      <c r="B59">
        <v>24</v>
      </c>
    </row>
    <row r="60" spans="1:2" x14ac:dyDescent="0.25">
      <c r="A60" s="6">
        <v>40</v>
      </c>
      <c r="B60">
        <v>17</v>
      </c>
    </row>
    <row r="61" spans="1:2" x14ac:dyDescent="0.25">
      <c r="A61" s="6">
        <v>41</v>
      </c>
      <c r="B61">
        <v>36</v>
      </c>
    </row>
    <row r="62" spans="1:2" x14ac:dyDescent="0.25">
      <c r="A62" s="6">
        <v>42</v>
      </c>
      <c r="B62">
        <v>26</v>
      </c>
    </row>
    <row r="63" spans="1:2" x14ac:dyDescent="0.25">
      <c r="A63" s="6">
        <v>43</v>
      </c>
      <c r="B63">
        <v>24</v>
      </c>
    </row>
    <row r="64" spans="1:2" x14ac:dyDescent="0.25">
      <c r="A64" s="6">
        <v>44</v>
      </c>
      <c r="B64">
        <v>20</v>
      </c>
    </row>
    <row r="65" spans="1:2" x14ac:dyDescent="0.25">
      <c r="A65" s="6">
        <v>45</v>
      </c>
      <c r="B65">
        <v>29</v>
      </c>
    </row>
    <row r="66" spans="1:2" x14ac:dyDescent="0.25">
      <c r="A66" s="6">
        <v>46</v>
      </c>
      <c r="B66">
        <v>22</v>
      </c>
    </row>
    <row r="67" spans="1:2" x14ac:dyDescent="0.25">
      <c r="A67" s="6">
        <v>47</v>
      </c>
      <c r="B67">
        <v>30</v>
      </c>
    </row>
    <row r="68" spans="1:2" x14ac:dyDescent="0.25">
      <c r="A68" s="6">
        <v>48</v>
      </c>
      <c r="B68">
        <v>19</v>
      </c>
    </row>
    <row r="69" spans="1:2" x14ac:dyDescent="0.25">
      <c r="A69" s="6">
        <v>49</v>
      </c>
      <c r="B69">
        <v>31</v>
      </c>
    </row>
    <row r="70" spans="1:2" x14ac:dyDescent="0.25">
      <c r="A70" s="6">
        <v>50</v>
      </c>
      <c r="B70">
        <v>24</v>
      </c>
    </row>
    <row r="71" spans="1:2" x14ac:dyDescent="0.25">
      <c r="A71" s="6">
        <v>51</v>
      </c>
      <c r="B71">
        <v>26</v>
      </c>
    </row>
    <row r="72" spans="1:2" x14ac:dyDescent="0.25">
      <c r="A72" s="6" t="s">
        <v>437</v>
      </c>
      <c r="B72">
        <v>1000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BF06-963D-4080-AE53-2AA1D2119245}">
  <dimension ref="A4:U21"/>
  <sheetViews>
    <sheetView workbookViewId="0">
      <selection activeCell="R30" sqref="R30"/>
    </sheetView>
  </sheetViews>
  <sheetFormatPr defaultRowHeight="15" x14ac:dyDescent="0.25"/>
  <cols>
    <col min="1" max="1" width="13.42578125" bestFit="1" customWidth="1"/>
    <col min="2" max="2" width="16.85546875" bestFit="1" customWidth="1"/>
    <col min="3" max="3" width="5.7109375" bestFit="1" customWidth="1"/>
    <col min="4" max="4" width="11.28515625" bestFit="1" customWidth="1"/>
    <col min="5" max="5" width="3" bestFit="1" customWidth="1"/>
    <col min="6" max="6" width="4" bestFit="1" customWidth="1"/>
    <col min="7" max="7" width="11.28515625" bestFit="1" customWidth="1"/>
    <col min="18" max="18" width="13.42578125" bestFit="1" customWidth="1"/>
    <col min="19" max="19" width="16.85546875" bestFit="1" customWidth="1"/>
    <col min="20" max="20" width="5.28515625" bestFit="1" customWidth="1"/>
    <col min="21" max="21" width="11.28515625" bestFit="1" customWidth="1"/>
  </cols>
  <sheetData>
    <row r="4" spans="1:21" x14ac:dyDescent="0.25">
      <c r="A4" s="4" t="s">
        <v>450</v>
      </c>
      <c r="B4" s="4" t="s">
        <v>438</v>
      </c>
    </row>
    <row r="5" spans="1:21" x14ac:dyDescent="0.25">
      <c r="A5" s="4" t="s">
        <v>436</v>
      </c>
      <c r="B5">
        <v>1</v>
      </c>
      <c r="C5">
        <v>2</v>
      </c>
      <c r="D5">
        <v>3</v>
      </c>
      <c r="E5">
        <v>4</v>
      </c>
      <c r="F5">
        <v>5</v>
      </c>
      <c r="G5" t="s">
        <v>437</v>
      </c>
    </row>
    <row r="6" spans="1:21" x14ac:dyDescent="0.25">
      <c r="A6" s="5" t="s">
        <v>17</v>
      </c>
      <c r="B6">
        <v>98</v>
      </c>
      <c r="C6">
        <v>132</v>
      </c>
      <c r="D6">
        <v>152</v>
      </c>
      <c r="E6">
        <v>56</v>
      </c>
      <c r="F6">
        <v>65</v>
      </c>
      <c r="G6">
        <v>503</v>
      </c>
    </row>
    <row r="7" spans="1:21" x14ac:dyDescent="0.25">
      <c r="A7" s="5" t="s">
        <v>25</v>
      </c>
      <c r="B7">
        <v>96</v>
      </c>
      <c r="C7">
        <v>142</v>
      </c>
      <c r="D7">
        <v>160</v>
      </c>
      <c r="E7">
        <v>40</v>
      </c>
      <c r="F7">
        <v>59</v>
      </c>
      <c r="G7">
        <v>497</v>
      </c>
      <c r="R7" s="4" t="s">
        <v>450</v>
      </c>
      <c r="S7" s="4" t="s">
        <v>438</v>
      </c>
    </row>
    <row r="8" spans="1:21" x14ac:dyDescent="0.25">
      <c r="A8" s="5" t="s">
        <v>437</v>
      </c>
      <c r="B8">
        <v>194</v>
      </c>
      <c r="C8">
        <v>274</v>
      </c>
      <c r="D8">
        <v>312</v>
      </c>
      <c r="E8">
        <v>96</v>
      </c>
      <c r="F8">
        <v>124</v>
      </c>
      <c r="G8">
        <v>1000</v>
      </c>
      <c r="R8" s="4" t="s">
        <v>436</v>
      </c>
      <c r="S8" t="s">
        <v>17</v>
      </c>
      <c r="T8" t="s">
        <v>25</v>
      </c>
      <c r="U8" t="s">
        <v>437</v>
      </c>
    </row>
    <row r="9" spans="1:21" x14ac:dyDescent="0.25">
      <c r="R9" s="5" t="s">
        <v>18</v>
      </c>
      <c r="S9">
        <v>242</v>
      </c>
      <c r="T9">
        <v>251</v>
      </c>
      <c r="U9">
        <v>493</v>
      </c>
    </row>
    <row r="10" spans="1:21" x14ac:dyDescent="0.25">
      <c r="R10" s="5" t="s">
        <v>22</v>
      </c>
      <c r="S10">
        <v>261</v>
      </c>
      <c r="T10">
        <v>246</v>
      </c>
      <c r="U10">
        <v>507</v>
      </c>
    </row>
    <row r="11" spans="1:21" x14ac:dyDescent="0.25">
      <c r="R11" s="5" t="s">
        <v>437</v>
      </c>
      <c r="S11">
        <v>503</v>
      </c>
      <c r="T11">
        <v>497</v>
      </c>
      <c r="U11">
        <v>1000</v>
      </c>
    </row>
    <row r="17" spans="1:4" x14ac:dyDescent="0.25">
      <c r="A17" s="4" t="s">
        <v>450</v>
      </c>
      <c r="B17" s="4" t="s">
        <v>438</v>
      </c>
    </row>
    <row r="18" spans="1:4" x14ac:dyDescent="0.25">
      <c r="A18" s="4" t="s">
        <v>436</v>
      </c>
      <c r="B18" t="s">
        <v>452</v>
      </c>
      <c r="C18" t="s">
        <v>453</v>
      </c>
      <c r="D18" t="s">
        <v>437</v>
      </c>
    </row>
    <row r="19" spans="1:4" x14ac:dyDescent="0.25">
      <c r="A19" s="5" t="s">
        <v>17</v>
      </c>
      <c r="B19">
        <v>262</v>
      </c>
      <c r="C19">
        <v>241</v>
      </c>
      <c r="D19">
        <v>503</v>
      </c>
    </row>
    <row r="20" spans="1:4" x14ac:dyDescent="0.25">
      <c r="A20" s="5" t="s">
        <v>25</v>
      </c>
      <c r="B20">
        <v>245</v>
      </c>
      <c r="C20">
        <v>252</v>
      </c>
      <c r="D20">
        <v>497</v>
      </c>
    </row>
    <row r="21" spans="1:4" x14ac:dyDescent="0.25">
      <c r="A21" s="5" t="s">
        <v>437</v>
      </c>
      <c r="B21">
        <v>507</v>
      </c>
      <c r="C21">
        <v>493</v>
      </c>
      <c r="D21">
        <v>1000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AC63-38F3-49C8-8E3C-58F057EAFAF9}">
  <dimension ref="A4:U25"/>
  <sheetViews>
    <sheetView workbookViewId="0">
      <selection activeCell="O12" sqref="O12"/>
    </sheetView>
  </sheetViews>
  <sheetFormatPr defaultRowHeight="15" x14ac:dyDescent="0.25"/>
  <cols>
    <col min="1" max="1" width="13.42578125" bestFit="1" customWidth="1"/>
    <col min="2" max="2" width="16.85546875" bestFit="1" customWidth="1"/>
    <col min="3" max="3" width="5.7109375" bestFit="1" customWidth="1"/>
    <col min="4" max="4" width="11.28515625" bestFit="1" customWidth="1"/>
    <col min="5" max="19" width="5.5703125" bestFit="1" customWidth="1"/>
    <col min="20" max="20" width="13.42578125" bestFit="1" customWidth="1"/>
    <col min="21" max="21" width="11" bestFit="1" customWidth="1"/>
    <col min="22" max="40" width="5.5703125" bestFit="1" customWidth="1"/>
    <col min="41" max="41" width="11.28515625" bestFit="1" customWidth="1"/>
    <col min="42" max="151" width="16.85546875" bestFit="1" customWidth="1"/>
    <col min="152" max="152" width="11.28515625" bestFit="1" customWidth="1"/>
  </cols>
  <sheetData>
    <row r="4" spans="1:21" x14ac:dyDescent="0.25">
      <c r="A4" s="4" t="s">
        <v>454</v>
      </c>
      <c r="B4" t="s">
        <v>455</v>
      </c>
    </row>
    <row r="5" spans="1:21" x14ac:dyDescent="0.25">
      <c r="A5" s="5">
        <v>161</v>
      </c>
      <c r="B5">
        <v>12</v>
      </c>
      <c r="T5" s="4" t="s">
        <v>436</v>
      </c>
      <c r="U5" t="s">
        <v>450</v>
      </c>
    </row>
    <row r="6" spans="1:21" x14ac:dyDescent="0.25">
      <c r="A6" s="5">
        <v>156</v>
      </c>
      <c r="B6">
        <v>12</v>
      </c>
      <c r="T6" s="5" t="s">
        <v>24</v>
      </c>
      <c r="U6">
        <v>153</v>
      </c>
    </row>
    <row r="7" spans="1:21" x14ac:dyDescent="0.25">
      <c r="A7" s="5">
        <v>149</v>
      </c>
      <c r="B7">
        <v>11</v>
      </c>
      <c r="T7" s="5" t="s">
        <v>45</v>
      </c>
      <c r="U7">
        <v>114</v>
      </c>
    </row>
    <row r="8" spans="1:21" x14ac:dyDescent="0.25">
      <c r="A8" s="5">
        <v>141</v>
      </c>
      <c r="B8">
        <v>12</v>
      </c>
      <c r="T8" s="5" t="s">
        <v>43</v>
      </c>
      <c r="U8">
        <v>111</v>
      </c>
    </row>
    <row r="9" spans="1:21" x14ac:dyDescent="0.25">
      <c r="A9" s="5">
        <v>138</v>
      </c>
      <c r="B9">
        <v>12</v>
      </c>
      <c r="T9" s="5" t="s">
        <v>29</v>
      </c>
      <c r="U9">
        <v>140</v>
      </c>
    </row>
    <row r="10" spans="1:21" x14ac:dyDescent="0.25">
      <c r="A10" s="5">
        <v>135</v>
      </c>
      <c r="B10">
        <v>11</v>
      </c>
      <c r="T10" s="5" t="s">
        <v>456</v>
      </c>
      <c r="U10">
        <v>482</v>
      </c>
    </row>
    <row r="11" spans="1:21" x14ac:dyDescent="0.25">
      <c r="A11" s="5">
        <v>107</v>
      </c>
      <c r="B11">
        <v>12</v>
      </c>
      <c r="T11" s="5" t="s">
        <v>437</v>
      </c>
      <c r="U11">
        <v>1000</v>
      </c>
    </row>
    <row r="12" spans="1:21" x14ac:dyDescent="0.25">
      <c r="A12" s="5">
        <v>105</v>
      </c>
      <c r="B12">
        <v>12</v>
      </c>
    </row>
    <row r="13" spans="1:21" x14ac:dyDescent="0.25">
      <c r="A13" s="5">
        <v>93</v>
      </c>
      <c r="B13">
        <v>13</v>
      </c>
    </row>
    <row r="14" spans="1:21" x14ac:dyDescent="0.25">
      <c r="A14" s="5">
        <v>67</v>
      </c>
      <c r="B14">
        <v>14</v>
      </c>
    </row>
    <row r="15" spans="1:21" x14ac:dyDescent="0.25">
      <c r="A15" s="5">
        <v>56</v>
      </c>
      <c r="B15">
        <v>14</v>
      </c>
    </row>
    <row r="16" spans="1:21" x14ac:dyDescent="0.25">
      <c r="A16" s="5" t="s">
        <v>437</v>
      </c>
      <c r="B16">
        <v>135</v>
      </c>
    </row>
    <row r="21" spans="1:4" x14ac:dyDescent="0.25">
      <c r="A21" s="4" t="s">
        <v>450</v>
      </c>
      <c r="B21" s="4" t="s">
        <v>438</v>
      </c>
    </row>
    <row r="22" spans="1:4" x14ac:dyDescent="0.25">
      <c r="A22" s="4" t="s">
        <v>436</v>
      </c>
      <c r="B22" t="s">
        <v>452</v>
      </c>
      <c r="C22" t="s">
        <v>453</v>
      </c>
      <c r="D22" t="s">
        <v>437</v>
      </c>
    </row>
    <row r="23" spans="1:4" x14ac:dyDescent="0.25">
      <c r="A23" s="5" t="s">
        <v>17</v>
      </c>
      <c r="B23">
        <v>255</v>
      </c>
      <c r="C23">
        <v>248</v>
      </c>
      <c r="D23">
        <v>503</v>
      </c>
    </row>
    <row r="24" spans="1:4" x14ac:dyDescent="0.25">
      <c r="A24" s="5" t="s">
        <v>25</v>
      </c>
      <c r="B24">
        <v>227</v>
      </c>
      <c r="C24">
        <v>270</v>
      </c>
      <c r="D24">
        <v>497</v>
      </c>
    </row>
    <row r="25" spans="1:4" x14ac:dyDescent="0.25">
      <c r="A25" s="5" t="s">
        <v>437</v>
      </c>
      <c r="B25">
        <v>482</v>
      </c>
      <c r="C25">
        <v>518</v>
      </c>
      <c r="D25">
        <v>1000</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319EF0-D2FC-466F-AA71-B82194879D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gym_membership</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Sodeinde</dc:creator>
  <cp:lastModifiedBy>Timothy Sodeinde</cp:lastModifiedBy>
  <dcterms:created xsi:type="dcterms:W3CDTF">2026-08-29T07:05:22Z</dcterms:created>
  <dcterms:modified xsi:type="dcterms:W3CDTF">2026-08-30T22:45:51Z</dcterms:modified>
</cp:coreProperties>
</file>